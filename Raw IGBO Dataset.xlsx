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<sst xmlns="http://schemas.openxmlformats.org/spreadsheetml/2006/main" count="3410" uniqueCount="1992">
  <si>
    <t>ID</t>
  </si>
  <si>
    <t>IGBO WORD</t>
  </si>
  <si>
    <t xml:space="preserve">MEANING </t>
  </si>
  <si>
    <t xml:space="preserve">TONE PATTERN </t>
  </si>
  <si>
    <t xml:space="preserve">SOURCE </t>
  </si>
  <si>
    <t>áfá</t>
  </si>
  <si>
    <t xml:space="preserve">divination </t>
  </si>
  <si>
    <t>IG00002</t>
  </si>
  <si>
    <t>àbálị̀</t>
  </si>
  <si>
    <t>night</t>
  </si>
  <si>
    <t>Igbotique</t>
  </si>
  <si>
    <t>IG00003</t>
  </si>
  <si>
    <t>àbànì</t>
  </si>
  <si>
    <t>IG00004</t>
  </si>
  <si>
    <t>ábụ́</t>
  </si>
  <si>
    <t>pus</t>
  </si>
  <si>
    <t>IG00005</t>
  </si>
  <si>
    <t>ábụ̀</t>
  </si>
  <si>
    <t>song</t>
  </si>
  <si>
    <t>IG00006</t>
  </si>
  <si>
    <t>armpit</t>
  </si>
  <si>
    <t>IG00007</t>
  </si>
  <si>
    <t>àbụ̀</t>
  </si>
  <si>
    <t>both</t>
  </si>
  <si>
    <t>IG00008</t>
  </si>
  <si>
    <t>ábụ́zụ̀</t>
  </si>
  <si>
    <t>cricket</t>
  </si>
  <si>
    <t>IG00009</t>
  </si>
  <si>
    <t>àchàlà</t>
  </si>
  <si>
    <t>bamboo</t>
  </si>
  <si>
    <t>IG00010</t>
  </si>
  <si>
    <t>àchị̀chà</t>
  </si>
  <si>
    <t>bread</t>
  </si>
  <si>
    <t>IG00011</t>
  </si>
  <si>
    <t>ádá</t>
  </si>
  <si>
    <t>fall</t>
  </si>
  <si>
    <t>IG00012</t>
  </si>
  <si>
    <t>àdá</t>
  </si>
  <si>
    <t xml:space="preserve">daughter </t>
  </si>
  <si>
    <t>IG00013</t>
  </si>
  <si>
    <t>divination</t>
  </si>
  <si>
    <t>IG00014</t>
  </si>
  <si>
    <t>áfà</t>
  </si>
  <si>
    <t>name</t>
  </si>
  <si>
    <t>IG00015</t>
  </si>
  <si>
    <t>áfiá</t>
  </si>
  <si>
    <t>market</t>
  </si>
  <si>
    <t>IG00016</t>
  </si>
  <si>
    <t>áfị́fịá</t>
  </si>
  <si>
    <t>grass</t>
  </si>
  <si>
    <t>IG00017</t>
  </si>
  <si>
    <t>áfọ́</t>
  </si>
  <si>
    <t>stomach, belly</t>
  </si>
  <si>
    <t>IG00018</t>
  </si>
  <si>
    <t>áfọ́ ńjọ̄</t>
  </si>
  <si>
    <t>meanness</t>
  </si>
  <si>
    <t>IG00019</t>
  </si>
  <si>
    <t>áfọ́ ọ́má</t>
  </si>
  <si>
    <t>kindness</t>
  </si>
  <si>
    <t>IG00020</t>
  </si>
  <si>
    <t>áfụ̀</t>
  </si>
  <si>
    <t>that</t>
  </si>
  <si>
    <t>IG00021</t>
  </si>
  <si>
    <t>àfụ̀ ọ́nụ̄</t>
  </si>
  <si>
    <t>beard</t>
  </si>
  <si>
    <t>IG00022</t>
  </si>
  <si>
    <t>áfụ́fụ́</t>
  </si>
  <si>
    <t>suffering</t>
  </si>
  <si>
    <t>IG00023</t>
  </si>
  <si>
    <t>ágụ̄</t>
  </si>
  <si>
    <t>cat (wild), leopard</t>
  </si>
  <si>
    <t>IG00024</t>
  </si>
  <si>
    <t>ágụ́ụ̄</t>
  </si>
  <si>
    <t>hunger</t>
  </si>
  <si>
    <t>IG00025</t>
  </si>
  <si>
    <t>àgbà</t>
  </si>
  <si>
    <t>jaw, chin</t>
  </si>
  <si>
    <t>IG00026</t>
  </si>
  <si>
    <t>àgbàtà óbì</t>
  </si>
  <si>
    <t>neighbour</t>
  </si>
  <si>
    <t>IG00027</t>
  </si>
  <si>
    <t>ághá</t>
  </si>
  <si>
    <t>war</t>
  </si>
  <si>
    <t>IG00028</t>
  </si>
  <si>
    <t>ághị̀ghọ̀</t>
  </si>
  <si>
    <t>trick</t>
  </si>
  <si>
    <t>IG00029</t>
  </si>
  <si>
    <t>ághụ̀ghọ̀</t>
  </si>
  <si>
    <t>IG00030</t>
  </si>
  <si>
    <t>àgwà</t>
  </si>
  <si>
    <t>bean</t>
  </si>
  <si>
    <t>IG00031</t>
  </si>
  <si>
    <t>character</t>
  </si>
  <si>
    <t>IG00032</t>
  </si>
  <si>
    <t>ágwọ́</t>
  </si>
  <si>
    <t>snake</t>
  </si>
  <si>
    <t>IG00033</t>
  </si>
  <si>
    <t>ágwọ̀</t>
  </si>
  <si>
    <t>raffia</t>
  </si>
  <si>
    <t>IG00034</t>
  </si>
  <si>
    <t>áhịá</t>
  </si>
  <si>
    <t>IG00035</t>
  </si>
  <si>
    <t>áhị́hịá</t>
  </si>
  <si>
    <t>IG00036</t>
  </si>
  <si>
    <t>áhụ̀</t>
  </si>
  <si>
    <t>IG00037</t>
  </si>
  <si>
    <t>àhụ́</t>
  </si>
  <si>
    <t>health, body</t>
  </si>
  <si>
    <t>IG00038</t>
  </si>
  <si>
    <t>àhụ́ ọ́kụ̄</t>
  </si>
  <si>
    <t>fever</t>
  </si>
  <si>
    <t>IG00039</t>
  </si>
  <si>
    <t>áhụ́hụ́</t>
  </si>
  <si>
    <t>IG00040</t>
  </si>
  <si>
    <t>ájā</t>
  </si>
  <si>
    <t>sand</t>
  </si>
  <si>
    <t>IG00041</t>
  </si>
  <si>
    <t>àjà</t>
  </si>
  <si>
    <t>sacrifice</t>
  </si>
  <si>
    <t>IG00042</t>
  </si>
  <si>
    <t>àjàdù</t>
  </si>
  <si>
    <t>widow</t>
  </si>
  <si>
    <t>IG00043</t>
  </si>
  <si>
    <t>ájị́</t>
  </si>
  <si>
    <t>fur, hair</t>
  </si>
  <si>
    <t>IG00044</t>
  </si>
  <si>
    <t>ájọ̄</t>
  </si>
  <si>
    <t>evil, bad</t>
  </si>
  <si>
    <t>IG00045</t>
  </si>
  <si>
    <t>ájụ̀</t>
  </si>
  <si>
    <t>dizziness</t>
  </si>
  <si>
    <t>IG00046</t>
  </si>
  <si>
    <t>ájụ̀jụ́</t>
  </si>
  <si>
    <t>question</t>
  </si>
  <si>
    <t>IG00047</t>
  </si>
  <si>
    <t>áká</t>
  </si>
  <si>
    <t>hand</t>
  </si>
  <si>
    <t>IG00048</t>
  </si>
  <si>
    <t>ákà</t>
  </si>
  <si>
    <t>coral</t>
  </si>
  <si>
    <t>IG00049</t>
  </si>
  <si>
    <t>ánụ́</t>
  </si>
  <si>
    <t>meat</t>
  </si>
  <si>
    <t>IG00050</t>
  </si>
  <si>
    <t>ánụ́mànụ̀</t>
  </si>
  <si>
    <t>animal</t>
  </si>
  <si>
    <t>IG00051</t>
  </si>
  <si>
    <t>áṅụ̄</t>
  </si>
  <si>
    <t>bee</t>
  </si>
  <si>
    <t>IG00052</t>
  </si>
  <si>
    <t>áṅụ̀lị́</t>
  </si>
  <si>
    <t>joy</t>
  </si>
  <si>
    <t>IG00053</t>
  </si>
  <si>
    <t>ánwà</t>
  </si>
  <si>
    <t>IG00054</t>
  </si>
  <si>
    <t>ánwụ̄</t>
  </si>
  <si>
    <t>sunshine</t>
  </si>
  <si>
    <t>IG00055</t>
  </si>
  <si>
    <t>ánwụ́ ńtà</t>
  </si>
  <si>
    <t>mosquito</t>
  </si>
  <si>
    <t>IG00056</t>
  </si>
  <si>
    <t>ánwụ́lụ̀</t>
  </si>
  <si>
    <t>smoke</t>
  </si>
  <si>
    <t>IG00057</t>
  </si>
  <si>
    <t>ánwụ́rụ̀</t>
  </si>
  <si>
    <t>IG00058</t>
  </si>
  <si>
    <t>ányá</t>
  </si>
  <si>
    <t>far, eye</t>
  </si>
  <si>
    <t>IG00059</t>
  </si>
  <si>
    <t>ányá ḿmīlī</t>
  </si>
  <si>
    <t>tear</t>
  </si>
  <si>
    <t>IG00060</t>
  </si>
  <si>
    <t>ányánwụ̄</t>
  </si>
  <si>
    <t>sun</t>
  </si>
  <si>
    <t>IG00061</t>
  </si>
  <si>
    <t>ányàsị̀</t>
  </si>
  <si>
    <t>IG00062</t>
  </si>
  <si>
    <t>ànyị́</t>
  </si>
  <si>
    <t>us, we</t>
  </si>
  <si>
    <t>IG00063</t>
  </si>
  <si>
    <t>àpà</t>
  </si>
  <si>
    <t>scar</t>
  </si>
  <si>
    <t>IG00064</t>
  </si>
  <si>
    <t>árá</t>
  </si>
  <si>
    <t>madness</t>
  </si>
  <si>
    <t>IG00065</t>
  </si>
  <si>
    <t>árị́rị́</t>
  </si>
  <si>
    <t>insect</t>
  </si>
  <si>
    <t>IG00066</t>
  </si>
  <si>
    <t>árọ̀</t>
  </si>
  <si>
    <t>year</t>
  </si>
  <si>
    <t>IG00067</t>
  </si>
  <si>
    <t>árụ̄</t>
  </si>
  <si>
    <t>abomination</t>
  </si>
  <si>
    <t>IG00068</t>
  </si>
  <si>
    <t>àrụ́</t>
  </si>
  <si>
    <t>IG00069</t>
  </si>
  <si>
    <t>àsáà</t>
  </si>
  <si>
    <t>seven</t>
  </si>
  <si>
    <t>IG00070</t>
  </si>
  <si>
    <t>àsị́lie</t>
  </si>
  <si>
    <t>IG00071</t>
  </si>
  <si>
    <t>àsị̀lị̀</t>
  </si>
  <si>
    <t>gossip</t>
  </si>
  <si>
    <t>IG00072</t>
  </si>
  <si>
    <t>ásị́sá</t>
  </si>
  <si>
    <t>sponge (for dishes)</t>
  </si>
  <si>
    <t>IG00073</t>
  </si>
  <si>
    <t>ásọ́</t>
  </si>
  <si>
    <t>saliva</t>
  </si>
  <si>
    <t>IG00074</t>
  </si>
  <si>
    <t>àtọ́</t>
  </si>
  <si>
    <t>three</t>
  </si>
  <si>
    <t>IG00075</t>
  </si>
  <si>
    <t>átụ́rụ̄</t>
  </si>
  <si>
    <t>sheep</t>
  </si>
  <si>
    <t>IG00076</t>
  </si>
  <si>
    <t>áwélē</t>
  </si>
  <si>
    <t>good luck</t>
  </si>
  <si>
    <t>IG00077</t>
  </si>
  <si>
    <t>áwọ́</t>
  </si>
  <si>
    <t>grey</t>
  </si>
  <si>
    <t>IG00078</t>
  </si>
  <si>
    <t>áwọ̀</t>
  </si>
  <si>
    <t>toad</t>
  </si>
  <si>
    <t>IG00079</t>
  </si>
  <si>
    <t>ázụ̀</t>
  </si>
  <si>
    <t>fish</t>
  </si>
  <si>
    <t>IG00080</t>
  </si>
  <si>
    <t>àzụ́</t>
  </si>
  <si>
    <t>back</t>
  </si>
  <si>
    <t>IG00081</t>
  </si>
  <si>
    <t>m̀bá</t>
  </si>
  <si>
    <t>chastise</t>
  </si>
  <si>
    <t>IG00082</t>
  </si>
  <si>
    <t>úrù</t>
  </si>
  <si>
    <t>beneficial</t>
  </si>
  <si>
    <t>IG00083</t>
  </si>
  <si>
    <t>bànyé</t>
  </si>
  <si>
    <t>enter</t>
  </si>
  <si>
    <t>IG00084</t>
  </si>
  <si>
    <t>-bè</t>
  </si>
  <si>
    <t>cut</t>
  </si>
  <si>
    <t>IG00085</t>
  </si>
  <si>
    <t>ákwá</t>
  </si>
  <si>
    <t>cry</t>
  </si>
  <si>
    <t>IG00086</t>
  </si>
  <si>
    <t>bèkéè</t>
  </si>
  <si>
    <t>English</t>
  </si>
  <si>
    <t>IG00087</t>
  </si>
  <si>
    <t>-bèlù</t>
  </si>
  <si>
    <t>perch</t>
  </si>
  <si>
    <t>IG00088</t>
  </si>
  <si>
    <t>-bìlì</t>
  </si>
  <si>
    <t>get up</t>
  </si>
  <si>
    <t>IG00089</t>
  </si>
  <si>
    <t>ámụ́má</t>
  </si>
  <si>
    <t>prophesy</t>
  </si>
  <si>
    <t>IG00090</t>
  </si>
  <si>
    <t>íbù</t>
  </si>
  <si>
    <t>big</t>
  </si>
  <si>
    <t>IG00091</t>
  </si>
  <si>
    <t>búdà</t>
  </si>
  <si>
    <t>bring down</t>
  </si>
  <si>
    <t>IG00092</t>
  </si>
  <si>
    <t>-bútù</t>
  </si>
  <si>
    <t>IG00093</t>
  </si>
  <si>
    <t>bùúsù</t>
  </si>
  <si>
    <t>cat</t>
  </si>
  <si>
    <t>IG00094</t>
  </si>
  <si>
    <t>bị̀á</t>
  </si>
  <si>
    <t>come</t>
  </si>
  <si>
    <t>IG00095</t>
  </si>
  <si>
    <t>cháchá</t>
  </si>
  <si>
    <t>at all</t>
  </si>
  <si>
    <t>IG00096</t>
  </si>
  <si>
    <t>-ché</t>
  </si>
  <si>
    <t>wait</t>
  </si>
  <si>
    <t>IG00097</t>
  </si>
  <si>
    <t>-chè</t>
  </si>
  <si>
    <t>think</t>
  </si>
  <si>
    <t>IG00098</t>
  </si>
  <si>
    <t>-chèkwúdó</t>
  </si>
  <si>
    <t>hope</t>
  </si>
  <si>
    <t>IG00099</t>
  </si>
  <si>
    <t>-chètà</t>
  </si>
  <si>
    <t>remember</t>
  </si>
  <si>
    <t>IG00100</t>
  </si>
  <si>
    <t>ọ́chị̀</t>
  </si>
  <si>
    <t>laugh</t>
  </si>
  <si>
    <t>IG00101</t>
  </si>
  <si>
    <t>-chọ́</t>
  </si>
  <si>
    <t>want, seek</t>
  </si>
  <si>
    <t>IG00102</t>
  </si>
  <si>
    <t>-chọ́pụ̀tà</t>
  </si>
  <si>
    <t>discover</t>
  </si>
  <si>
    <t>IG00103</t>
  </si>
  <si>
    <t>-chụ́</t>
  </si>
  <si>
    <t>chase</t>
  </si>
  <si>
    <t>IG00104</t>
  </si>
  <si>
    <t>-chụ́pụ̀</t>
  </si>
  <si>
    <t>drive out, drive away</t>
  </si>
  <si>
    <t>IG00105</t>
  </si>
  <si>
    <t>dàálụ́</t>
  </si>
  <si>
    <t>thank you</t>
  </si>
  <si>
    <t>IG00106</t>
  </si>
  <si>
    <t>-dàbà</t>
  </si>
  <si>
    <t>correspond</t>
  </si>
  <si>
    <t>IG00107</t>
  </si>
  <si>
    <t>-dé</t>
  </si>
  <si>
    <t>write</t>
  </si>
  <si>
    <t>IG00108</t>
  </si>
  <si>
    <t>-débé</t>
  </si>
  <si>
    <t>keep</t>
  </si>
  <si>
    <t>IG00109</t>
  </si>
  <si>
    <t>dí</t>
  </si>
  <si>
    <t>husband</t>
  </si>
  <si>
    <t>IG00110</t>
  </si>
  <si>
    <t>-dínà</t>
  </si>
  <si>
    <t>lie down</t>
  </si>
  <si>
    <t>IG00111</t>
  </si>
  <si>
    <t>díńtā</t>
  </si>
  <si>
    <t>hunter</t>
  </si>
  <si>
    <t>IG00112</t>
  </si>
  <si>
    <t>-dóchí</t>
  </si>
  <si>
    <t>replace</t>
  </si>
  <si>
    <t>IG00113</t>
  </si>
  <si>
    <t>-dózí</t>
  </si>
  <si>
    <t>prepare, fix</t>
  </si>
  <si>
    <t>IG00114</t>
  </si>
  <si>
    <t>-dọ́ áká ná ńtị̀</t>
  </si>
  <si>
    <t>warn</t>
  </si>
  <si>
    <t>IG00115</t>
  </si>
  <si>
    <t>-dọ́ká</t>
  </si>
  <si>
    <t>IG00116</t>
  </si>
  <si>
    <t>-dú</t>
  </si>
  <si>
    <t>lead, guide</t>
  </si>
  <si>
    <t>IG00117</t>
  </si>
  <si>
    <t>èbélè</t>
  </si>
  <si>
    <t>mercy</t>
  </si>
  <si>
    <t>IG00118</t>
  </si>
  <si>
    <t>ébénébé</t>
  </si>
  <si>
    <t>calamity, disaster</t>
  </si>
  <si>
    <t>IG00119</t>
  </si>
  <si>
    <t>èbérè</t>
  </si>
  <si>
    <t>IG00120</t>
  </si>
  <si>
    <t>èbù</t>
  </si>
  <si>
    <t>wasp</t>
  </si>
  <si>
    <t>IG00121</t>
  </si>
  <si>
    <t>mould</t>
  </si>
  <si>
    <t>IG00122</t>
  </si>
  <si>
    <t>èbùbè</t>
  </si>
  <si>
    <t>awesome, awe</t>
  </si>
  <si>
    <t>IG00123</t>
  </si>
  <si>
    <t>èbùlè</t>
  </si>
  <si>
    <t>ram</t>
  </si>
  <si>
    <t>IG00124</t>
  </si>
  <si>
    <t>échí</t>
  </si>
  <si>
    <t>tomorrow</t>
  </si>
  <si>
    <t>IG00125</t>
  </si>
  <si>
    <t>échí níīnē</t>
  </si>
  <si>
    <t>IG00126</t>
  </si>
  <si>
    <t>échìchè</t>
  </si>
  <si>
    <t>thought</t>
  </si>
  <si>
    <t>IG00127</t>
  </si>
  <si>
    <t>édè</t>
  </si>
  <si>
    <t>cocoyam</t>
  </si>
  <si>
    <t>IG00128</t>
  </si>
  <si>
    <t>èdò</t>
  </si>
  <si>
    <t>yellow</t>
  </si>
  <si>
    <t>IG00129</t>
  </si>
  <si>
    <t>éfè</t>
  </si>
  <si>
    <t>clear, space</t>
  </si>
  <si>
    <t>IG00130</t>
  </si>
  <si>
    <t>èfè</t>
  </si>
  <si>
    <t>outfit</t>
  </si>
  <si>
    <t>IG00131</t>
  </si>
  <si>
    <t>éfélé</t>
  </si>
  <si>
    <t>dish, plate</t>
  </si>
  <si>
    <t>IG00132</t>
  </si>
  <si>
    <t>éfí</t>
  </si>
  <si>
    <t>cattle</t>
  </si>
  <si>
    <t>IG00133</t>
  </si>
  <si>
    <t>èfífiè</t>
  </si>
  <si>
    <t>day, afternoon, midday</t>
  </si>
  <si>
    <t>IG00134</t>
  </si>
  <si>
    <t>éfù</t>
  </si>
  <si>
    <t>zero, free</t>
  </si>
  <si>
    <t>IG00135</t>
  </si>
  <si>
    <t>égō</t>
  </si>
  <si>
    <t>money</t>
  </si>
  <si>
    <t>IG00136</t>
  </si>
  <si>
    <t>égbé</t>
  </si>
  <si>
    <t>kite, hawk</t>
  </si>
  <si>
    <t>IG00137</t>
  </si>
  <si>
    <t>égbè</t>
  </si>
  <si>
    <t>gun</t>
  </si>
  <si>
    <t>IG00138</t>
  </si>
  <si>
    <t>égbè ígwē</t>
  </si>
  <si>
    <t>thunder</t>
  </si>
  <si>
    <t>IG00139</t>
  </si>
  <si>
    <t>égwú</t>
  </si>
  <si>
    <t>dance</t>
  </si>
  <si>
    <t>IG00140</t>
  </si>
  <si>
    <t>égwù</t>
  </si>
  <si>
    <t>scary, fear</t>
  </si>
  <si>
    <t>IG00141</t>
  </si>
  <si>
    <t>éhí</t>
  </si>
  <si>
    <t>IG00142</t>
  </si>
  <si>
    <t>èhíhiè</t>
  </si>
  <si>
    <t>phone</t>
  </si>
  <si>
    <t>IG00143</t>
  </si>
  <si>
    <t>ékwéńtị̀</t>
  </si>
  <si>
    <t>èjìmá</t>
  </si>
  <si>
    <t>IG00144</t>
  </si>
  <si>
    <t>twin</t>
  </si>
  <si>
    <t>IG00145</t>
  </si>
  <si>
    <t>éjùnà</t>
  </si>
  <si>
    <t>snail</t>
  </si>
  <si>
    <t>IG00146</t>
  </si>
  <si>
    <t>éké</t>
  </si>
  <si>
    <t>python</t>
  </si>
  <si>
    <t>IG00147</t>
  </si>
  <si>
    <t>èkèné</t>
  </si>
  <si>
    <t>greeting, thanks</t>
  </si>
  <si>
    <t>IG00148</t>
  </si>
  <si>
    <t>ékú</t>
  </si>
  <si>
    <t>wooden spoon</t>
  </si>
  <si>
    <t>IG00149</t>
  </si>
  <si>
    <t>èkpélé</t>
  </si>
  <si>
    <t>prayer</t>
  </si>
  <si>
    <t>IG00150</t>
  </si>
  <si>
    <t>ékwú</t>
  </si>
  <si>
    <t>kitchen</t>
  </si>
  <si>
    <t>IG00151</t>
  </si>
  <si>
    <t>élé</t>
  </si>
  <si>
    <t>antelope</t>
  </si>
  <si>
    <t>IG00152</t>
  </si>
  <si>
    <t>élílí</t>
  </si>
  <si>
    <t>string</t>
  </si>
  <si>
    <t>IG00153</t>
  </si>
  <si>
    <t>élílí áfọ̄</t>
  </si>
  <si>
    <t>intestine</t>
  </si>
  <si>
    <t>IG00154</t>
  </si>
  <si>
    <t>élō</t>
  </si>
  <si>
    <t>mushroom</t>
  </si>
  <si>
    <t>IG00155</t>
  </si>
  <si>
    <t>élú</t>
  </si>
  <si>
    <t>high</t>
  </si>
  <si>
    <t>IG00156</t>
  </si>
  <si>
    <t>élú ígwē</t>
  </si>
  <si>
    <t>heavens</t>
  </si>
  <si>
    <t>IG00157</t>
  </si>
  <si>
    <t>énú</t>
  </si>
  <si>
    <t>IG00158</t>
  </si>
  <si>
    <t>ènwè</t>
  </si>
  <si>
    <t>monkey</t>
  </si>
  <si>
    <t>IG00159</t>
  </si>
  <si>
    <t>ényí</t>
  </si>
  <si>
    <t>elephant</t>
  </si>
  <si>
    <t>IG00160</t>
  </si>
  <si>
    <t>ényì</t>
  </si>
  <si>
    <t>friend</t>
  </si>
  <si>
    <t>IG00161</t>
  </si>
  <si>
    <t>ényì-nwáànyị̀</t>
  </si>
  <si>
    <t>girlfriend</t>
  </si>
  <si>
    <t>IG00162</t>
  </si>
  <si>
    <t>érí</t>
  </si>
  <si>
    <t>thread</t>
  </si>
  <si>
    <t>IG00163</t>
  </si>
  <si>
    <t>érō</t>
  </si>
  <si>
    <t>IG00164</t>
  </si>
  <si>
    <t>èsè</t>
  </si>
  <si>
    <t>enquiry</t>
  </si>
  <si>
    <t>IG00165</t>
  </si>
  <si>
    <t>èsèmókwú</t>
  </si>
  <si>
    <t>quarrel</t>
  </si>
  <si>
    <t>IG00166</t>
  </si>
  <si>
    <t>ésú</t>
  </si>
  <si>
    <t>millipede</t>
  </si>
  <si>
    <t>IG00167</t>
  </si>
  <si>
    <t>ètítì</t>
  </si>
  <si>
    <t>midst, middle</t>
  </si>
  <si>
    <t>IG00168</t>
  </si>
  <si>
    <t>éwú</t>
  </si>
  <si>
    <t>goat</t>
  </si>
  <si>
    <t>IG00169</t>
  </si>
  <si>
    <t>ézè</t>
  </si>
  <si>
    <t>king</t>
  </si>
  <si>
    <t>IG00170</t>
  </si>
  <si>
    <t>ézē</t>
  </si>
  <si>
    <t>teeth, tooth</t>
  </si>
  <si>
    <t>IG00171</t>
  </si>
  <si>
    <t>ézí</t>
  </si>
  <si>
    <t>good</t>
  </si>
  <si>
    <t>IG00172</t>
  </si>
  <si>
    <t>ézì</t>
  </si>
  <si>
    <t>pig</t>
  </si>
  <si>
    <t>IG00173</t>
  </si>
  <si>
    <t>èzí</t>
  </si>
  <si>
    <t>outside</t>
  </si>
  <si>
    <t>IG00174</t>
  </si>
  <si>
    <t>ézí ókwū</t>
  </si>
  <si>
    <t>truth</t>
  </si>
  <si>
    <t>IG00175</t>
  </si>
  <si>
    <t>ézígbō</t>
  </si>
  <si>
    <t>IG00176</t>
  </si>
  <si>
    <t>fè</t>
  </si>
  <si>
    <t>worship</t>
  </si>
  <si>
    <t>IG00177</t>
  </si>
  <si>
    <t>ị́fíchá</t>
  </si>
  <si>
    <t>wipe</t>
  </si>
  <si>
    <t>IG00178</t>
  </si>
  <si>
    <t>ị́fíchápụ̀</t>
  </si>
  <si>
    <t>wipe off</t>
  </si>
  <si>
    <t>IG00179</t>
  </si>
  <si>
    <t>ị́fó</t>
  </si>
  <si>
    <t>dawn</t>
  </si>
  <si>
    <t>IG00180</t>
  </si>
  <si>
    <t>ị́fọ́</t>
  </si>
  <si>
    <t>remain</t>
  </si>
  <si>
    <t>IG00181</t>
  </si>
  <si>
    <t>ị́fù èfù</t>
  </si>
  <si>
    <t>lost</t>
  </si>
  <si>
    <t>IG00182</t>
  </si>
  <si>
    <t>ị́fụ́</t>
  </si>
  <si>
    <t>see</t>
  </si>
  <si>
    <t>IG00183</t>
  </si>
  <si>
    <t>ị́fụ́ ụ̀fụ́</t>
  </si>
  <si>
    <t>hurt</t>
  </si>
  <si>
    <t>IG00184</t>
  </si>
  <si>
    <t>ị́fụ́ ụ́zọ̀</t>
  </si>
  <si>
    <t>IG00185</t>
  </si>
  <si>
    <t>ị́fụ̀tà</t>
  </si>
  <si>
    <t>protrude, get out</t>
  </si>
  <si>
    <t>IG00186</t>
  </si>
  <si>
    <t>íjè</t>
  </si>
  <si>
    <t>journey</t>
  </si>
  <si>
    <t>IG00187</t>
  </si>
  <si>
    <t>-gáfè</t>
  </si>
  <si>
    <t>cross, pass</t>
  </si>
  <si>
    <t>IG00188</t>
  </si>
  <si>
    <t>-gè ńtị̀</t>
  </si>
  <si>
    <t>listen</t>
  </si>
  <si>
    <t>IG00189</t>
  </si>
  <si>
    <t>-gó</t>
  </si>
  <si>
    <t>buy</t>
  </si>
  <si>
    <t>IG00190</t>
  </si>
  <si>
    <t>-gósí</t>
  </si>
  <si>
    <t>show</t>
  </si>
  <si>
    <t>IG00191</t>
  </si>
  <si>
    <t>-góté</t>
  </si>
  <si>
    <t>IG00192</t>
  </si>
  <si>
    <t>-gọ́</t>
  </si>
  <si>
    <t>deny</t>
  </si>
  <si>
    <t>IG00193</t>
  </si>
  <si>
    <t>-gọ́zị́ àgọ́zị́</t>
  </si>
  <si>
    <t>bless</t>
  </si>
  <si>
    <t>IG00194</t>
  </si>
  <si>
    <t>-gú égwú</t>
  </si>
  <si>
    <t>sing</t>
  </si>
  <si>
    <t>IG00195</t>
  </si>
  <si>
    <t>-gbá ghálị́</t>
  </si>
  <si>
    <t>confound</t>
  </si>
  <si>
    <t>IG00196</t>
  </si>
  <si>
    <t>m̀gbá</t>
  </si>
  <si>
    <t>wrestle</t>
  </si>
  <si>
    <t>IG00197</t>
  </si>
  <si>
    <t>-gbá ọ̀bàlà</t>
  </si>
  <si>
    <t>bleed</t>
  </si>
  <si>
    <t>IG00198</t>
  </si>
  <si>
    <t>-gbá ọ́sọ́</t>
  </si>
  <si>
    <t>run</t>
  </si>
  <si>
    <t>IG00199</t>
  </si>
  <si>
    <t>-gbà ọ̀tọ́</t>
  </si>
  <si>
    <t>naked</t>
  </si>
  <si>
    <t>IG00200</t>
  </si>
  <si>
    <t>-gbádà</t>
  </si>
  <si>
    <t>come down</t>
  </si>
  <si>
    <t>IG00201</t>
  </si>
  <si>
    <t>-gbàjị̀</t>
  </si>
  <si>
    <t>break</t>
  </si>
  <si>
    <t>IG00202</t>
  </si>
  <si>
    <t>-gbálị̀</t>
  </si>
  <si>
    <t>try</t>
  </si>
  <si>
    <t>IG00203</t>
  </si>
  <si>
    <t>-gbánị̀</t>
  </si>
  <si>
    <t>IG00204</t>
  </si>
  <si>
    <t>-gbányé</t>
  </si>
  <si>
    <t>pour</t>
  </si>
  <si>
    <t>IG00205</t>
  </si>
  <si>
    <t>-gbásá</t>
  </si>
  <si>
    <t>splash, concern</t>
  </si>
  <si>
    <t>IG00206</t>
  </si>
  <si>
    <t>-gbásà</t>
  </si>
  <si>
    <t>scatter</t>
  </si>
  <si>
    <t>IG00207</t>
  </si>
  <si>
    <t>gbàsárá</t>
  </si>
  <si>
    <t>concerning</t>
  </si>
  <si>
    <t>IG00208</t>
  </si>
  <si>
    <t>-gbásò</t>
  </si>
  <si>
    <t>elope</t>
  </si>
  <si>
    <t>IG00209</t>
  </si>
  <si>
    <t>-gbátị́</t>
  </si>
  <si>
    <t>stretch</t>
  </si>
  <si>
    <t>IG00210</t>
  </si>
  <si>
    <t>-gbọ́ ágbọ́ọ̄</t>
  </si>
  <si>
    <t>vomit</t>
  </si>
  <si>
    <t>IG00211</t>
  </si>
  <si>
    <t>-gbú</t>
  </si>
  <si>
    <t>kill</t>
  </si>
  <si>
    <t>IG00212</t>
  </si>
  <si>
    <t>-ghé</t>
  </si>
  <si>
    <t>fry</t>
  </si>
  <si>
    <t>IG00213</t>
  </si>
  <si>
    <t>-ghè</t>
  </si>
  <si>
    <t>cooked</t>
  </si>
  <si>
    <t>IG00214</t>
  </si>
  <si>
    <t>-ghé óghē</t>
  </si>
  <si>
    <t>open</t>
  </si>
  <si>
    <t>IG00215</t>
  </si>
  <si>
    <t>-ghèghè</t>
  </si>
  <si>
    <t>cook</t>
  </si>
  <si>
    <t>IG00216</t>
  </si>
  <si>
    <t>-ghọ́tá</t>
  </si>
  <si>
    <t>pluck(from a tree), understand</t>
  </si>
  <si>
    <t>IG00217</t>
  </si>
  <si>
    <t>-gwá</t>
  </si>
  <si>
    <t>tell</t>
  </si>
  <si>
    <t>IG00218</t>
  </si>
  <si>
    <t>-gwọ́</t>
  </si>
  <si>
    <t>cure</t>
  </si>
  <si>
    <t>IG00219</t>
  </si>
  <si>
    <t>-gwọ́ ụ́lá</t>
  </si>
  <si>
    <t>snore</t>
  </si>
  <si>
    <t>IG00220</t>
  </si>
  <si>
    <t>-gwú</t>
  </si>
  <si>
    <t>dig</t>
  </si>
  <si>
    <t>IG00221</t>
  </si>
  <si>
    <t>-gwụ́</t>
  </si>
  <si>
    <t>run out</t>
  </si>
  <si>
    <t>IG00222</t>
  </si>
  <si>
    <t>-hápụ̀</t>
  </si>
  <si>
    <t>leave</t>
  </si>
  <si>
    <t>IG00223</t>
  </si>
  <si>
    <t>-hụ́</t>
  </si>
  <si>
    <t>IG00224</t>
  </si>
  <si>
    <t>ụ́zọ̀</t>
  </si>
  <si>
    <t>way</t>
  </si>
  <si>
    <t>IG00225</t>
  </si>
  <si>
    <t>íbú</t>
  </si>
  <si>
    <t>load</t>
  </si>
  <si>
    <t>IG00226</t>
  </si>
  <si>
    <t>bigness</t>
  </si>
  <si>
    <t>IG00227</t>
  </si>
  <si>
    <t>íchè</t>
  </si>
  <si>
    <t>different</t>
  </si>
  <si>
    <t>IG00228</t>
  </si>
  <si>
    <t>ídè</t>
  </si>
  <si>
    <t>flood</t>
  </si>
  <si>
    <t>IG00229</t>
  </si>
  <si>
    <t>ídìdè</t>
  </si>
  <si>
    <t>earthworm</t>
  </si>
  <si>
    <t>IG00230</t>
  </si>
  <si>
    <t>ífé</t>
  </si>
  <si>
    <t>thing</t>
  </si>
  <si>
    <t>IG00231</t>
  </si>
  <si>
    <t>ìfè</t>
  </si>
  <si>
    <t>light</t>
  </si>
  <si>
    <t>IG00232</t>
  </si>
  <si>
    <t>ífélē</t>
  </si>
  <si>
    <t>shame</t>
  </si>
  <si>
    <t>IG00233</t>
  </si>
  <si>
    <t>ìfúlū</t>
  </si>
  <si>
    <t>flower</t>
  </si>
  <si>
    <t>IG00234</t>
  </si>
  <si>
    <t>ígílígí</t>
  </si>
  <si>
    <t>dew</t>
  </si>
  <si>
    <t>IG00235</t>
  </si>
  <si>
    <t>ìgùrùbè</t>
  </si>
  <si>
    <t>locust</t>
  </si>
  <si>
    <t>IG00236</t>
  </si>
  <si>
    <t>ìgbé</t>
  </si>
  <si>
    <t>box</t>
  </si>
  <si>
    <t>IG00237</t>
  </si>
  <si>
    <t>ìgbì</t>
  </si>
  <si>
    <t>gum</t>
  </si>
  <si>
    <t>IG00238</t>
  </si>
  <si>
    <t>ìgbó</t>
  </si>
  <si>
    <t>drug</t>
  </si>
  <si>
    <t>IG00239</t>
  </si>
  <si>
    <t>ígwè</t>
  </si>
  <si>
    <t>iron</t>
  </si>
  <si>
    <t>IG00240</t>
  </si>
  <si>
    <t>ígwē</t>
  </si>
  <si>
    <t>chief, sky</t>
  </si>
  <si>
    <t>IG00241</t>
  </si>
  <si>
    <t>ìgwè</t>
  </si>
  <si>
    <t>crowd(of), multitude</t>
  </si>
  <si>
    <t>IG00242</t>
  </si>
  <si>
    <t>íhé</t>
  </si>
  <si>
    <t>IG00243</t>
  </si>
  <si>
    <t>ìhè</t>
  </si>
  <si>
    <t>IG00244</t>
  </si>
  <si>
    <t>íhérē</t>
  </si>
  <si>
    <t>IG00245</t>
  </si>
  <si>
    <t>íhú</t>
  </si>
  <si>
    <t>front, face</t>
  </si>
  <si>
    <t>IG00246</t>
  </si>
  <si>
    <t>IG00247</t>
  </si>
  <si>
    <t>íké</t>
  </si>
  <si>
    <t>ability, power, strength</t>
  </si>
  <si>
    <t>IG00248</t>
  </si>
  <si>
    <t>íkè</t>
  </si>
  <si>
    <t>butt</t>
  </si>
  <si>
    <t>IG00249</t>
  </si>
  <si>
    <t xml:space="preserve">to share </t>
  </si>
  <si>
    <t>IG00250</t>
  </si>
  <si>
    <t>ìkíké</t>
  </si>
  <si>
    <t>authority</t>
  </si>
  <si>
    <t>IG00251</t>
  </si>
  <si>
    <t>ìkó</t>
  </si>
  <si>
    <t>cup</t>
  </si>
  <si>
    <t>IG00252</t>
  </si>
  <si>
    <t>íkpé</t>
  </si>
  <si>
    <t>case</t>
  </si>
  <si>
    <t>IG00253</t>
  </si>
  <si>
    <t>íkpèlè</t>
  </si>
  <si>
    <t>knee</t>
  </si>
  <si>
    <t>IG00254</t>
  </si>
  <si>
    <t>ìkwìkwíī</t>
  </si>
  <si>
    <t>owl</t>
  </si>
  <si>
    <t>IG00255</t>
  </si>
  <si>
    <t>ílé</t>
  </si>
  <si>
    <t>tongue</t>
  </si>
  <si>
    <t>IG00256</t>
  </si>
  <si>
    <t>ìlí</t>
  </si>
  <si>
    <t>ten</t>
  </si>
  <si>
    <t>IG00257</t>
  </si>
  <si>
    <t>íló</t>
  </si>
  <si>
    <t>enmity</t>
  </si>
  <si>
    <t>IG00258</t>
  </si>
  <si>
    <t>ìló</t>
  </si>
  <si>
    <t>outside, road</t>
  </si>
  <si>
    <t>IG00259</t>
  </si>
  <si>
    <t>ílú</t>
  </si>
  <si>
    <t>proverb</t>
  </si>
  <si>
    <t>IG00260</t>
  </si>
  <si>
    <t>ímē</t>
  </si>
  <si>
    <t>pregnant</t>
  </si>
  <si>
    <t>IG00261</t>
  </si>
  <si>
    <t>ímí</t>
  </si>
  <si>
    <t>nose</t>
  </si>
  <si>
    <t>IG00262</t>
  </si>
  <si>
    <t>ínú</t>
  </si>
  <si>
    <t>IG00263</t>
  </si>
  <si>
    <t>bitterness</t>
  </si>
  <si>
    <t>IG00264</t>
  </si>
  <si>
    <t>íré</t>
  </si>
  <si>
    <t>IG00265</t>
  </si>
  <si>
    <t>ìrí</t>
  </si>
  <si>
    <t>IG00266</t>
  </si>
  <si>
    <t>író</t>
  </si>
  <si>
    <t>IG00267</t>
  </si>
  <si>
    <t>írò</t>
  </si>
  <si>
    <t>folktale</t>
  </si>
  <si>
    <t>IG00268</t>
  </si>
  <si>
    <t>írú</t>
  </si>
  <si>
    <t>IG00269</t>
  </si>
  <si>
    <t>ìsé</t>
  </si>
  <si>
    <t>five</t>
  </si>
  <si>
    <t>IG00270</t>
  </si>
  <si>
    <t>ísí</t>
  </si>
  <si>
    <t>head</t>
  </si>
  <si>
    <t>IG00271</t>
  </si>
  <si>
    <t>luck</t>
  </si>
  <si>
    <t>IG00272</t>
  </si>
  <si>
    <t>ísì</t>
  </si>
  <si>
    <t>smell</t>
  </si>
  <si>
    <t>IG00273</t>
  </si>
  <si>
    <t>ìsì</t>
  </si>
  <si>
    <t>blindness</t>
  </si>
  <si>
    <t>IG00274</t>
  </si>
  <si>
    <t>ísí ákā</t>
  </si>
  <si>
    <t>thumb</t>
  </si>
  <si>
    <t>IG00275</t>
  </si>
  <si>
    <t>ìsíì</t>
  </si>
  <si>
    <t>six</t>
  </si>
  <si>
    <t>IG00276</t>
  </si>
  <si>
    <t>ìtè</t>
  </si>
  <si>
    <t>pot</t>
  </si>
  <si>
    <t>IG00277</t>
  </si>
  <si>
    <t>ìtéghété</t>
  </si>
  <si>
    <t>nine</t>
  </si>
  <si>
    <t>IG00278</t>
  </si>
  <si>
    <t>íwé</t>
  </si>
  <si>
    <t>anger</t>
  </si>
  <si>
    <t>IG00279</t>
  </si>
  <si>
    <t>ìwú</t>
  </si>
  <si>
    <t>law</t>
  </si>
  <si>
    <t>IG00280</t>
  </si>
  <si>
    <t>ìzìzì</t>
  </si>
  <si>
    <t>first</t>
  </si>
  <si>
    <t>IG00281</t>
  </si>
  <si>
    <t>ị́bà</t>
  </si>
  <si>
    <t>malaria</t>
  </si>
  <si>
    <t>IG00282</t>
  </si>
  <si>
    <t>ị́bụ̀bà</t>
  </si>
  <si>
    <t>butterfly</t>
  </si>
  <si>
    <t>IG00283</t>
  </si>
  <si>
    <t>ị́fụ̄nányá</t>
  </si>
  <si>
    <t>love</t>
  </si>
  <si>
    <t>IG00284</t>
  </si>
  <si>
    <t>ị́jị̄jị̄</t>
  </si>
  <si>
    <t>fly</t>
  </si>
  <si>
    <t>IG00285</t>
  </si>
  <si>
    <t>ị̀nyị̀nyà</t>
  </si>
  <si>
    <t>horse</t>
  </si>
  <si>
    <t>IG00286</t>
  </si>
  <si>
    <t>ị̀nyị̀nyà-íbú</t>
  </si>
  <si>
    <t>donkey</t>
  </si>
  <si>
    <t>IG00287</t>
  </si>
  <si>
    <t>-jé</t>
  </si>
  <si>
    <t>walk, go</t>
  </si>
  <si>
    <t>IG00288</t>
  </si>
  <si>
    <t>jí</t>
  </si>
  <si>
    <t>yam</t>
  </si>
  <si>
    <t>IG00289</t>
  </si>
  <si>
    <t>-jì áká</t>
  </si>
  <si>
    <t>sure</t>
  </si>
  <si>
    <t>IG00290</t>
  </si>
  <si>
    <t>-jì ụ́gwọ̄</t>
  </si>
  <si>
    <t>owe</t>
  </si>
  <si>
    <t>IG00291</t>
  </si>
  <si>
    <t>-jìdè</t>
  </si>
  <si>
    <t>arrest, capture</t>
  </si>
  <si>
    <t>IG00292</t>
  </si>
  <si>
    <t>-jísí</t>
  </si>
  <si>
    <t>hold on</t>
  </si>
  <si>
    <t>IG00293</t>
  </si>
  <si>
    <t>kà</t>
  </si>
  <si>
    <t xml:space="preserve">just like </t>
  </si>
  <si>
    <t>IG00294</t>
  </si>
  <si>
    <t>Ị́kà</t>
  </si>
  <si>
    <t>to guess</t>
  </si>
  <si>
    <t>IG00295</t>
  </si>
  <si>
    <t>ká ḿmā</t>
  </si>
  <si>
    <t>better</t>
  </si>
  <si>
    <t>IG00296</t>
  </si>
  <si>
    <t>kásị̀ óbì</t>
  </si>
  <si>
    <t>comfort</t>
  </si>
  <si>
    <t>IG00297</t>
  </si>
  <si>
    <t>Ị́kè</t>
  </si>
  <si>
    <t>divide</t>
  </si>
  <si>
    <t>IG00298</t>
  </si>
  <si>
    <t>create</t>
  </si>
  <si>
    <t>IG00299</t>
  </si>
  <si>
    <t>kèlè</t>
  </si>
  <si>
    <t>greet, thank</t>
  </si>
  <si>
    <t>IG00300</t>
  </si>
  <si>
    <t>kém̀gbè</t>
  </si>
  <si>
    <t>since</t>
  </si>
  <si>
    <t>IG00301</t>
  </si>
  <si>
    <t>kènè</t>
  </si>
  <si>
    <t>IG00302</t>
  </si>
  <si>
    <t>kọ́</t>
  </si>
  <si>
    <t>IG00303</t>
  </si>
  <si>
    <t>kọ̀</t>
  </si>
  <si>
    <t>plant</t>
  </si>
  <si>
    <t>IG00304</t>
  </si>
  <si>
    <t>kọ́wá</t>
  </si>
  <si>
    <t>explain</t>
  </si>
  <si>
    <t>IG00305</t>
  </si>
  <si>
    <t>kúdà</t>
  </si>
  <si>
    <t>exhale</t>
  </si>
  <si>
    <t>IG00306</t>
  </si>
  <si>
    <t>kụ́wá</t>
  </si>
  <si>
    <t>break (typically accidentally)</t>
  </si>
  <si>
    <t>IG00307</t>
  </si>
  <si>
    <t>kpá ńkàtá</t>
  </si>
  <si>
    <t>converse</t>
  </si>
  <si>
    <t>IG00308</t>
  </si>
  <si>
    <t>kpá ńrí</t>
  </si>
  <si>
    <t>graze</t>
  </si>
  <si>
    <t>IG00309</t>
  </si>
  <si>
    <t>kpáchàpụ̀ ányá</t>
  </si>
  <si>
    <t>cautious, beware</t>
  </si>
  <si>
    <t>IG00310</t>
  </si>
  <si>
    <t>kpé èkpélé</t>
  </si>
  <si>
    <t>pray</t>
  </si>
  <si>
    <t>IG00311</t>
  </si>
  <si>
    <t>kpé èkpéré</t>
  </si>
  <si>
    <t>IG00312</t>
  </si>
  <si>
    <t>kpọ́</t>
  </si>
  <si>
    <t>play (an instrument), call</t>
  </si>
  <si>
    <t>IG00313</t>
  </si>
  <si>
    <t>kpọ́ ásị̀</t>
  </si>
  <si>
    <t>hate</t>
  </si>
  <si>
    <t>IG00314</t>
  </si>
  <si>
    <t>kpọ́ ìfúlū</t>
  </si>
  <si>
    <t>blossom</t>
  </si>
  <si>
    <t>IG00315</t>
  </si>
  <si>
    <t>kpọ́ ísí àlà</t>
  </si>
  <si>
    <t>IG00316</t>
  </si>
  <si>
    <t>kpù ìsì</t>
  </si>
  <si>
    <t>blind</t>
  </si>
  <si>
    <t>IG00317</t>
  </si>
  <si>
    <t>kpụ́ ákpụ́</t>
  </si>
  <si>
    <t>pull</t>
  </si>
  <si>
    <t>IG00318</t>
  </si>
  <si>
    <t>kwá ákwá</t>
  </si>
  <si>
    <t>IG00319</t>
  </si>
  <si>
    <t>kwàdá</t>
  </si>
  <si>
    <t>daily</t>
  </si>
  <si>
    <t>IG00320</t>
  </si>
  <si>
    <t>kwádó</t>
  </si>
  <si>
    <t>prepare</t>
  </si>
  <si>
    <t>IG00321</t>
  </si>
  <si>
    <t>kwé</t>
  </si>
  <si>
    <t>let, agree</t>
  </si>
  <si>
    <t>IG00322</t>
  </si>
  <si>
    <t>kwé ńkwà</t>
  </si>
  <si>
    <t>promise</t>
  </si>
  <si>
    <t>IG00323</t>
  </si>
  <si>
    <t>kwé ùkwé</t>
  </si>
  <si>
    <t>IG00324</t>
  </si>
  <si>
    <t>kwèsìlì</t>
  </si>
  <si>
    <t>supposed</t>
  </si>
  <si>
    <t>IG00325</t>
  </si>
  <si>
    <t>kwèsìrì</t>
  </si>
  <si>
    <t>IG00326</t>
  </si>
  <si>
    <t>kwú</t>
  </si>
  <si>
    <t>speak</t>
  </si>
  <si>
    <t>IG00327</t>
  </si>
  <si>
    <t>kwù</t>
  </si>
  <si>
    <t>more</t>
  </si>
  <si>
    <t>IG00328</t>
  </si>
  <si>
    <t>kwụ́sị́</t>
  </si>
  <si>
    <t>stop</t>
  </si>
  <si>
    <t>IG00329</t>
  </si>
  <si>
    <t>lá</t>
  </si>
  <si>
    <t>go home</t>
  </si>
  <si>
    <t>IG00330</t>
  </si>
  <si>
    <t>lághàchì</t>
  </si>
  <si>
    <t>return</t>
  </si>
  <si>
    <t>IG00331</t>
  </si>
  <si>
    <t>lé</t>
  </si>
  <si>
    <t>sell</t>
  </si>
  <si>
    <t>IG00332</t>
  </si>
  <si>
    <t>lé ányá</t>
  </si>
  <si>
    <t>expect, look forward, look</t>
  </si>
  <si>
    <t>IG00333</t>
  </si>
  <si>
    <t>lígó</t>
  </si>
  <si>
    <t>climb</t>
  </si>
  <si>
    <t>IG00334</t>
  </si>
  <si>
    <t>lọ̀ ńlọ́</t>
  </si>
  <si>
    <t>dream</t>
  </si>
  <si>
    <t>IG00335</t>
  </si>
  <si>
    <t>lọ́tá</t>
  </si>
  <si>
    <t>return (home)</t>
  </si>
  <si>
    <t>IG00336</t>
  </si>
  <si>
    <t>lọ̀tà</t>
  </si>
  <si>
    <t>IG00337</t>
  </si>
  <si>
    <t>lụ́</t>
  </si>
  <si>
    <t>marry</t>
  </si>
  <si>
    <t>IG00338</t>
  </si>
  <si>
    <t>má</t>
  </si>
  <si>
    <t>know</t>
  </si>
  <si>
    <t>IG00339</t>
  </si>
  <si>
    <t>mà</t>
  </si>
  <si>
    <t>whether</t>
  </si>
  <si>
    <t>IG00340</t>
  </si>
  <si>
    <t>màkà</t>
  </si>
  <si>
    <t>because</t>
  </si>
  <si>
    <t>IG00341</t>
  </si>
  <si>
    <t>ḿbà</t>
  </si>
  <si>
    <t>no</t>
  </si>
  <si>
    <t>IG00342</t>
  </si>
  <si>
    <t>country</t>
  </si>
  <si>
    <t>IG00343</t>
  </si>
  <si>
    <t>ḿbè</t>
  </si>
  <si>
    <t>tortoise</t>
  </si>
  <si>
    <t>IG00344</t>
  </si>
  <si>
    <t>m̀bèlèdé</t>
  </si>
  <si>
    <t>suddenly</t>
  </si>
  <si>
    <t>IG00345</t>
  </si>
  <si>
    <t>ḿbídó</t>
  </si>
  <si>
    <t>beginning</t>
  </si>
  <si>
    <t>IG00346</t>
  </si>
  <si>
    <t>ḿbọ́</t>
  </si>
  <si>
    <t>nail</t>
  </si>
  <si>
    <t>IG00347</t>
  </si>
  <si>
    <t>ḿbọ̀sị̀</t>
  </si>
  <si>
    <t>day</t>
  </si>
  <si>
    <t>IG00348</t>
  </si>
  <si>
    <t>m̀bụ́</t>
  </si>
  <si>
    <t>first, beginning</t>
  </si>
  <si>
    <t>IG00349</t>
  </si>
  <si>
    <t>m̀bụ́zụ̀</t>
  </si>
  <si>
    <t>IG00350</t>
  </si>
  <si>
    <t>-mé</t>
  </si>
  <si>
    <t>happen, do</t>
  </si>
  <si>
    <t>IG00351</t>
  </si>
  <si>
    <t>-mébì</t>
  </si>
  <si>
    <t>break, spoil</t>
  </si>
  <si>
    <t>IG00352</t>
  </si>
  <si>
    <t>-méchí</t>
  </si>
  <si>
    <t>close</t>
  </si>
  <si>
    <t>IG00353</t>
  </si>
  <si>
    <t>-méghé</t>
  </si>
  <si>
    <t>IG00354</t>
  </si>
  <si>
    <t>-métụ́ áká</t>
  </si>
  <si>
    <t>touch</t>
  </si>
  <si>
    <t>IG00355</t>
  </si>
  <si>
    <t>m̀fé</t>
  </si>
  <si>
    <t>easy</t>
  </si>
  <si>
    <t>IG00356</t>
  </si>
  <si>
    <t>wrestling</t>
  </si>
  <si>
    <t>IG00357</t>
  </si>
  <si>
    <t>m̀gbè</t>
  </si>
  <si>
    <t>time</t>
  </si>
  <si>
    <t>IG00358</t>
  </si>
  <si>
    <t>ḿgbèdè</t>
  </si>
  <si>
    <t>evening</t>
  </si>
  <si>
    <t>IG00359</t>
  </si>
  <si>
    <t>ḿgbị́lị́ḿgbá</t>
  </si>
  <si>
    <t>bell</t>
  </si>
  <si>
    <t>IG00360</t>
  </si>
  <si>
    <t>-mì èmì</t>
  </si>
  <si>
    <t>deep</t>
  </si>
  <si>
    <t>IG00361</t>
  </si>
  <si>
    <t>ḿkpà</t>
  </si>
  <si>
    <t>necessary, important</t>
  </si>
  <si>
    <t>IG00362</t>
  </si>
  <si>
    <t>m̀kpà</t>
  </si>
  <si>
    <t>scissors</t>
  </si>
  <si>
    <t>IG00363</t>
  </si>
  <si>
    <t>ḿkpálị́</t>
  </si>
  <si>
    <t>insult</t>
  </si>
  <si>
    <t>IG00364</t>
  </si>
  <si>
    <t>ḿkpésá</t>
  </si>
  <si>
    <t>complaint</t>
  </si>
  <si>
    <t>IG00365</t>
  </si>
  <si>
    <t>m̀kpí</t>
  </si>
  <si>
    <t>he-goat</t>
  </si>
  <si>
    <t>IG00366</t>
  </si>
  <si>
    <t>m̀kpị́sị́</t>
  </si>
  <si>
    <t>digit</t>
  </si>
  <si>
    <t>IG00367</t>
  </si>
  <si>
    <t>m̀kpị́sị́ ákā</t>
  </si>
  <si>
    <t>finger</t>
  </si>
  <si>
    <t>IG00368</t>
  </si>
  <si>
    <t>m̀kpọ́</t>
  </si>
  <si>
    <t>walking stick</t>
  </si>
  <si>
    <t>IG00369</t>
  </si>
  <si>
    <t>ḿkpọ́tụ́</t>
  </si>
  <si>
    <t>noise</t>
  </si>
  <si>
    <t>IG00370</t>
  </si>
  <si>
    <t>m̀kpúmè</t>
  </si>
  <si>
    <t>stone, rock</t>
  </si>
  <si>
    <t>IG00371</t>
  </si>
  <si>
    <t>ḿkpụ́lụ̄</t>
  </si>
  <si>
    <t>seed</t>
  </si>
  <si>
    <t>IG00372</t>
  </si>
  <si>
    <t>ḿmà</t>
  </si>
  <si>
    <t>knife</t>
  </si>
  <si>
    <t>IG00373</t>
  </si>
  <si>
    <t>m̀mádụ̀</t>
  </si>
  <si>
    <t>human</t>
  </si>
  <si>
    <t>IG00374</t>
  </si>
  <si>
    <t>ḿmánụ́</t>
  </si>
  <si>
    <t>oil, palm oil</t>
  </si>
  <si>
    <t>IG00375</t>
  </si>
  <si>
    <t>ḿmánụ́ áṅụ̄</t>
  </si>
  <si>
    <t>honey</t>
  </si>
  <si>
    <t>IG00376</t>
  </si>
  <si>
    <t>ḿmánwụ́</t>
  </si>
  <si>
    <t>masquerade (cultural)</t>
  </si>
  <si>
    <t>IG00377</t>
  </si>
  <si>
    <t>ḿmányá</t>
  </si>
  <si>
    <t>wine</t>
  </si>
  <si>
    <t>IG00378</t>
  </si>
  <si>
    <t>m̀mányá</t>
  </si>
  <si>
    <t>IG00379</t>
  </si>
  <si>
    <t>ḿméhiè</t>
  </si>
  <si>
    <t>sin</t>
  </si>
  <si>
    <t>IG00380</t>
  </si>
  <si>
    <t>ḿmílī</t>
  </si>
  <si>
    <t>water</t>
  </si>
  <si>
    <t>IG00381</t>
  </si>
  <si>
    <t>ḿmírī</t>
  </si>
  <si>
    <t>IG00382</t>
  </si>
  <si>
    <t>ḿmụ̀tá</t>
  </si>
  <si>
    <t>learning</t>
  </si>
  <si>
    <t>IG00383</t>
  </si>
  <si>
    <t>-mụ́ ámụ́</t>
  </si>
  <si>
    <t>IG00384</t>
  </si>
  <si>
    <t>-mụ̀tà</t>
  </si>
  <si>
    <t>learn</t>
  </si>
  <si>
    <t>IG00385</t>
  </si>
  <si>
    <t>-ná</t>
  </si>
  <si>
    <t>IG00386</t>
  </si>
  <si>
    <t>náānị̄</t>
  </si>
  <si>
    <t>only</t>
  </si>
  <si>
    <t>IG00387</t>
  </si>
  <si>
    <t>-nághàchì</t>
  </si>
  <si>
    <t>IG00388</t>
  </si>
  <si>
    <t>-nálụ́</t>
  </si>
  <si>
    <t>receive</t>
  </si>
  <si>
    <t>IG00389</t>
  </si>
  <si>
    <t>-nárá</t>
  </si>
  <si>
    <t>IG00390</t>
  </si>
  <si>
    <t>nàrị̀</t>
  </si>
  <si>
    <t>hundred</t>
  </si>
  <si>
    <t>IG00391</t>
  </si>
  <si>
    <t>-nátá</t>
  </si>
  <si>
    <t>IG00392</t>
  </si>
  <si>
    <t>IG00393</t>
  </si>
  <si>
    <t>ńchà</t>
  </si>
  <si>
    <t>soap</t>
  </si>
  <si>
    <t>IG00394</t>
  </si>
  <si>
    <t>ǹchá</t>
  </si>
  <si>
    <t>all</t>
  </si>
  <si>
    <t>IG00395</t>
  </si>
  <si>
    <t>ǹdè</t>
  </si>
  <si>
    <t>million</t>
  </si>
  <si>
    <t>IG00396</t>
  </si>
  <si>
    <t>ńdí</t>
  </si>
  <si>
    <t>people</t>
  </si>
  <si>
    <t>IG00397</t>
  </si>
  <si>
    <t>ǹdìdì</t>
  </si>
  <si>
    <t>patience</t>
  </si>
  <si>
    <t>IG00398</t>
  </si>
  <si>
    <t>ǹdú</t>
  </si>
  <si>
    <t>guide</t>
  </si>
  <si>
    <t>IG00399</t>
  </si>
  <si>
    <t>ńdùrù</t>
  </si>
  <si>
    <t>dove</t>
  </si>
  <si>
    <t>IG00400</t>
  </si>
  <si>
    <t>ńdụ̀</t>
  </si>
  <si>
    <t>alive, life</t>
  </si>
  <si>
    <t>IG00401</t>
  </si>
  <si>
    <t>ǹdụ̀mọ́dụ́</t>
  </si>
  <si>
    <t>advice</t>
  </si>
  <si>
    <t>IG00402</t>
  </si>
  <si>
    <t>-né ányá</t>
  </si>
  <si>
    <t>IG00403</t>
  </si>
  <si>
    <t>-néné</t>
  </si>
  <si>
    <t>watch</t>
  </si>
  <si>
    <t>IG00404</t>
  </si>
  <si>
    <t>ǹgáná</t>
  </si>
  <si>
    <t>laziness</t>
  </si>
  <si>
    <t>IG00405</t>
  </si>
  <si>
    <t>ǹgàzị̀</t>
  </si>
  <si>
    <t>spoon</t>
  </si>
  <si>
    <t>IG00406</t>
  </si>
  <si>
    <t>ńgọ́zị́</t>
  </si>
  <si>
    <t>blessing</t>
  </si>
  <si>
    <t>IG00407</t>
  </si>
  <si>
    <t>ńghọ́tá</t>
  </si>
  <si>
    <t>understanding</t>
  </si>
  <si>
    <t>IG00408</t>
  </si>
  <si>
    <t>ǹgwèlè</t>
  </si>
  <si>
    <t>lizard</t>
  </si>
  <si>
    <t>IG00409</t>
  </si>
  <si>
    <t>IG00410</t>
  </si>
  <si>
    <t>níīlē</t>
  </si>
  <si>
    <t>IG00411</t>
  </si>
  <si>
    <t>ńjọ́</t>
  </si>
  <si>
    <t>ugly</t>
  </si>
  <si>
    <t>IG00412</t>
  </si>
  <si>
    <t>ńká</t>
  </si>
  <si>
    <t>old age</t>
  </si>
  <si>
    <t>IG00413</t>
  </si>
  <si>
    <t>ńkásị̀</t>
  </si>
  <si>
    <t>IG00414</t>
  </si>
  <si>
    <t>ńkàtá</t>
  </si>
  <si>
    <t>conversation</t>
  </si>
  <si>
    <t>IG00415</t>
  </si>
  <si>
    <t>ǹkàtà</t>
  </si>
  <si>
    <t>basket</t>
  </si>
  <si>
    <t>IG00416</t>
  </si>
  <si>
    <t>ńkị́rị́ká</t>
  </si>
  <si>
    <t>ragged</t>
  </si>
  <si>
    <t>IG00417</t>
  </si>
  <si>
    <t>ńkị́tā</t>
  </si>
  <si>
    <t>dog</t>
  </si>
  <si>
    <t>IG00418</t>
  </si>
  <si>
    <t>ǹkị́tị́</t>
  </si>
  <si>
    <t>ordinary</t>
  </si>
  <si>
    <t>IG00419</t>
  </si>
  <si>
    <t>ńkọ́</t>
  </si>
  <si>
    <t>sharp</t>
  </si>
  <si>
    <t>IG00420</t>
  </si>
  <si>
    <t>ńkọ́wá</t>
  </si>
  <si>
    <t>explanation</t>
  </si>
  <si>
    <t>IG00421</t>
  </si>
  <si>
    <t>ǹkù</t>
  </si>
  <si>
    <t>wing</t>
  </si>
  <si>
    <t>IG00422</t>
  </si>
  <si>
    <t>ǹkúmè</t>
  </si>
  <si>
    <t>IG00423</t>
  </si>
  <si>
    <t>ńkúzí</t>
  </si>
  <si>
    <t>teaching</t>
  </si>
  <si>
    <t>IG00424</t>
  </si>
  <si>
    <t>ńkụ́</t>
  </si>
  <si>
    <t>firewood</t>
  </si>
  <si>
    <t>IG00425</t>
  </si>
  <si>
    <t>ńkwà</t>
  </si>
  <si>
    <t>IG00426</t>
  </si>
  <si>
    <t>IG00427</t>
  </si>
  <si>
    <t>ńlọ́</t>
  </si>
  <si>
    <t>IG00428</t>
  </si>
  <si>
    <t>ńnà</t>
  </si>
  <si>
    <t>father</t>
  </si>
  <si>
    <t>IG00429</t>
  </si>
  <si>
    <t>ńní</t>
  </si>
  <si>
    <t>food</t>
  </si>
  <si>
    <t>IG00430</t>
  </si>
  <si>
    <t>ńnú</t>
  </si>
  <si>
    <t>salt</t>
  </si>
  <si>
    <t>IG00431</t>
  </si>
  <si>
    <t>ńnúkwū</t>
  </si>
  <si>
    <t>IG00432</t>
  </si>
  <si>
    <t>ńnụ̀nụ̀</t>
  </si>
  <si>
    <t>bird</t>
  </si>
  <si>
    <t>IG00433</t>
  </si>
  <si>
    <t>ńnwá</t>
  </si>
  <si>
    <t>child</t>
  </si>
  <si>
    <t>IG00434</t>
  </si>
  <si>
    <t>-nó</t>
  </si>
  <si>
    <t>swallow</t>
  </si>
  <si>
    <t>IG00435</t>
  </si>
  <si>
    <t>-nọ̀chị̀</t>
  </si>
  <si>
    <t>IG00436</t>
  </si>
  <si>
    <t>-nọ̀dụ̀</t>
  </si>
  <si>
    <t>remain, stay</t>
  </si>
  <si>
    <t>IG00437</t>
  </si>
  <si>
    <t>-nọ̀dụ̀ àlà</t>
  </si>
  <si>
    <t>sit down, sit</t>
  </si>
  <si>
    <t>IG00438</t>
  </si>
  <si>
    <t>-nọ́tá</t>
  </si>
  <si>
    <t>IG00439</t>
  </si>
  <si>
    <t>ńrí</t>
  </si>
  <si>
    <t>IG00440</t>
  </si>
  <si>
    <t>ńrọ́</t>
  </si>
  <si>
    <t>IG00441</t>
  </si>
  <si>
    <t>ǹsị́</t>
  </si>
  <si>
    <t>poop</t>
  </si>
  <si>
    <t>IG00442</t>
  </si>
  <si>
    <t>ǹsó</t>
  </si>
  <si>
    <t>near</t>
  </si>
  <si>
    <t>IG00443</t>
  </si>
  <si>
    <t>ńsògbú</t>
  </si>
  <si>
    <t>problem, trouble</t>
  </si>
  <si>
    <t>IG00444</t>
  </si>
  <si>
    <t>ńsọ́</t>
  </si>
  <si>
    <t>holy</t>
  </si>
  <si>
    <t>IG00445</t>
  </si>
  <si>
    <t>ǹshị́kọ̄</t>
  </si>
  <si>
    <t>crab</t>
  </si>
  <si>
    <t>IG00446</t>
  </si>
  <si>
    <t>ńtá</t>
  </si>
  <si>
    <t>hunt</t>
  </si>
  <si>
    <t>IG00447</t>
  </si>
  <si>
    <t>ńtà</t>
  </si>
  <si>
    <t>small</t>
  </si>
  <si>
    <t>IG00448</t>
  </si>
  <si>
    <t>ńtá ákụ́kọ́</t>
  </si>
  <si>
    <t>journalism</t>
  </si>
  <si>
    <t>IG00449</t>
  </si>
  <si>
    <t>ǹtì</t>
  </si>
  <si>
    <t>cheek</t>
  </si>
  <si>
    <t>IG00450</t>
  </si>
  <si>
    <t>ńtị̀</t>
  </si>
  <si>
    <t>ear</t>
  </si>
  <si>
    <t>IG00451</t>
  </si>
  <si>
    <t>ńtùtù</t>
  </si>
  <si>
    <t>hair(on the head)</t>
  </si>
  <si>
    <t>IG00452</t>
  </si>
  <si>
    <t>ńtùtù ányā</t>
  </si>
  <si>
    <t>eyelash</t>
  </si>
  <si>
    <t>IG00453</t>
  </si>
  <si>
    <t>ńtụ́</t>
  </si>
  <si>
    <t>ash</t>
  </si>
  <si>
    <t>IG00454</t>
  </si>
  <si>
    <t>ǹtụ́tụ̄</t>
  </si>
  <si>
    <t>needle</t>
  </si>
  <si>
    <t>IG00455</t>
  </si>
  <si>
    <t>-nụ́</t>
  </si>
  <si>
    <t>understand(a language), hear</t>
  </si>
  <si>
    <t>IG00456</t>
  </si>
  <si>
    <t>IG00457</t>
  </si>
  <si>
    <t>ǹyọ̀</t>
  </si>
  <si>
    <t>sieve</t>
  </si>
  <si>
    <t>IG00458</t>
  </si>
  <si>
    <t>ńzùbé</t>
  </si>
  <si>
    <t>plan</t>
  </si>
  <si>
    <t>IG00459</t>
  </si>
  <si>
    <t>ńzùkó</t>
  </si>
  <si>
    <t>meeting</t>
  </si>
  <si>
    <t>IG00460</t>
  </si>
  <si>
    <t>ǹzúzó</t>
  </si>
  <si>
    <t>secrecy</t>
  </si>
  <si>
    <t>IG00461</t>
  </si>
  <si>
    <t>ńzúzù</t>
  </si>
  <si>
    <t>foolishness</t>
  </si>
  <si>
    <t>IG00462</t>
  </si>
  <si>
    <t>-ṅụ́</t>
  </si>
  <si>
    <t>drink</t>
  </si>
  <si>
    <t>IG00463</t>
  </si>
  <si>
    <t>-ṅụ́ íyī</t>
  </si>
  <si>
    <t>swear</t>
  </si>
  <si>
    <t>IG00464</t>
  </si>
  <si>
    <t>-ṅụ̀lị̀ ọ́ṅụ̀</t>
  </si>
  <si>
    <t>rejoice</t>
  </si>
  <si>
    <t>IG00465</t>
  </si>
  <si>
    <t>-nwà</t>
  </si>
  <si>
    <t>IG00466</t>
  </si>
  <si>
    <t>nwáànyị̀</t>
  </si>
  <si>
    <t>woman</t>
  </si>
  <si>
    <t>IG00467</t>
  </si>
  <si>
    <t>nwáńnē</t>
  </si>
  <si>
    <t>sibling</t>
  </si>
  <si>
    <t>IG00468</t>
  </si>
  <si>
    <t>nwáyọ̀</t>
  </si>
  <si>
    <t>easy, gently</t>
  </si>
  <si>
    <t>IG00469</t>
  </si>
  <si>
    <t>-nwé</t>
  </si>
  <si>
    <t>have</t>
  </si>
  <si>
    <t>IG00470</t>
  </si>
  <si>
    <t>nwóbélē</t>
  </si>
  <si>
    <t>IG00471</t>
  </si>
  <si>
    <t>nwókē</t>
  </si>
  <si>
    <t>man</t>
  </si>
  <si>
    <t>IG00472</t>
  </si>
  <si>
    <t>-nwú</t>
  </si>
  <si>
    <t>shine</t>
  </si>
  <si>
    <t>IG00473</t>
  </si>
  <si>
    <t>nwúnyè</t>
  </si>
  <si>
    <t>wife</t>
  </si>
  <si>
    <t>IG00474</t>
  </si>
  <si>
    <t>-nwụ́ ánwụ́</t>
  </si>
  <si>
    <t>die</t>
  </si>
  <si>
    <t>IG00475</t>
  </si>
  <si>
    <t>-nyà</t>
  </si>
  <si>
    <t>drive</t>
  </si>
  <si>
    <t>IG00476</t>
  </si>
  <si>
    <t>-nyé</t>
  </si>
  <si>
    <t>give</t>
  </si>
  <si>
    <t>IG00477</t>
  </si>
  <si>
    <t>-nyé áká</t>
  </si>
  <si>
    <t>help</t>
  </si>
  <si>
    <t>IG00478</t>
  </si>
  <si>
    <t>óbē</t>
  </si>
  <si>
    <t>cross, ladder</t>
  </si>
  <si>
    <t>IG00479</t>
  </si>
  <si>
    <t>óbérē</t>
  </si>
  <si>
    <t>IG00480</t>
  </si>
  <si>
    <t>óbì</t>
  </si>
  <si>
    <t>heart</t>
  </si>
  <si>
    <t>IG00481</t>
  </si>
  <si>
    <t>òbòdò</t>
  </si>
  <si>
    <t>country, town</t>
  </si>
  <si>
    <t>IG00482</t>
  </si>
  <si>
    <t>óché</t>
  </si>
  <si>
    <t>chair</t>
  </si>
  <si>
    <t>IG00483</t>
  </si>
  <si>
    <t>óché ézè</t>
  </si>
  <si>
    <t>throne</t>
  </si>
  <si>
    <t>IG00484</t>
  </si>
  <si>
    <t>ófé</t>
  </si>
  <si>
    <t>soup</t>
  </si>
  <si>
    <t>IG00485</t>
  </si>
  <si>
    <t>ófílí ísī</t>
  </si>
  <si>
    <t>pillow</t>
  </si>
  <si>
    <t>IG00486</t>
  </si>
  <si>
    <t>òfú</t>
  </si>
  <si>
    <t>one</t>
  </si>
  <si>
    <t>IG00487</t>
  </si>
  <si>
    <t>òfùfè</t>
  </si>
  <si>
    <t>IG00488</t>
  </si>
  <si>
    <t>òfúkē</t>
  </si>
  <si>
    <t>IG00489</t>
  </si>
  <si>
    <t>ógè</t>
  </si>
  <si>
    <t>IG00490</t>
  </si>
  <si>
    <t>ògèdè</t>
  </si>
  <si>
    <t>plantain</t>
  </si>
  <si>
    <t>IG00491</t>
  </si>
  <si>
    <t>ógólógó</t>
  </si>
  <si>
    <t>tall, long</t>
  </si>
  <si>
    <t>IG00492</t>
  </si>
  <si>
    <t>ógónógó</t>
  </si>
  <si>
    <t>IG00493</t>
  </si>
  <si>
    <t>ògbó</t>
  </si>
  <si>
    <t>sponge (for bathing)</t>
  </si>
  <si>
    <t>IG00494</t>
  </si>
  <si>
    <t>ógwū</t>
  </si>
  <si>
    <t>thorn</t>
  </si>
  <si>
    <t>IG00495</t>
  </si>
  <si>
    <t>ógwùmáàgànà</t>
  </si>
  <si>
    <t>chameleon</t>
  </si>
  <si>
    <t>IG00496</t>
  </si>
  <si>
    <t>òhèrè</t>
  </si>
  <si>
    <t>IG00497</t>
  </si>
  <si>
    <t>òjí</t>
  </si>
  <si>
    <t>black, dark</t>
  </si>
  <si>
    <t>IG00498</t>
  </si>
  <si>
    <t>óké</t>
  </si>
  <si>
    <t>male</t>
  </si>
  <si>
    <t>IG00499</t>
  </si>
  <si>
    <t>ókè</t>
  </si>
  <si>
    <t>border, boundary</t>
  </si>
  <si>
    <t>IG00500</t>
  </si>
  <si>
    <t>òké</t>
  </si>
  <si>
    <t>mouse, rat</t>
  </si>
  <si>
    <t>IG00501</t>
  </si>
  <si>
    <t>òkè</t>
  </si>
  <si>
    <t>share</t>
  </si>
  <si>
    <t>IG00502</t>
  </si>
  <si>
    <t>ókènyè</t>
  </si>
  <si>
    <t>adult</t>
  </si>
  <si>
    <t>IG00503</t>
  </si>
  <si>
    <t>ókìkóló</t>
  </si>
  <si>
    <t>shell</t>
  </si>
  <si>
    <t>IG00504</t>
  </si>
  <si>
    <t>òkìlìkílí</t>
  </si>
  <si>
    <t>around</t>
  </si>
  <si>
    <t>IG00505</t>
  </si>
  <si>
    <t>òkóló</t>
  </si>
  <si>
    <t>young man</t>
  </si>
  <si>
    <t>IG00506</t>
  </si>
  <si>
    <t>òkólóbià</t>
  </si>
  <si>
    <t>IG00507</t>
  </si>
  <si>
    <t>òkòsó</t>
  </si>
  <si>
    <t>top</t>
  </si>
  <si>
    <t>IG00508</t>
  </si>
  <si>
    <t>ókpókóló</t>
  </si>
  <si>
    <t>IG00509</t>
  </si>
  <si>
    <t>òkpú</t>
  </si>
  <si>
    <t>hat</t>
  </si>
  <si>
    <t>IG00510</t>
  </si>
  <si>
    <t>òkpú-ézè</t>
  </si>
  <si>
    <t>crown</t>
  </si>
  <si>
    <t>IG00511</t>
  </si>
  <si>
    <t>òkpúlù</t>
  </si>
  <si>
    <t>under</t>
  </si>
  <si>
    <t>IG00512</t>
  </si>
  <si>
    <t>òkpúrù</t>
  </si>
  <si>
    <t>IG00513</t>
  </si>
  <si>
    <t>ókwú</t>
  </si>
  <si>
    <t>word</t>
  </si>
  <si>
    <t>IG00514</t>
  </si>
  <si>
    <t>òkwùkwé</t>
  </si>
  <si>
    <t>faith</t>
  </si>
  <si>
    <t>IG00515</t>
  </si>
  <si>
    <t>òmùmé</t>
  </si>
  <si>
    <t>behavior</t>
  </si>
  <si>
    <t>IG00516</t>
  </si>
  <si>
    <t>òmúmú</t>
  </si>
  <si>
    <t>birth</t>
  </si>
  <si>
    <t>IG00517</t>
  </si>
  <si>
    <t>ònémòné</t>
  </si>
  <si>
    <t>few</t>
  </si>
  <si>
    <t>IG00518</t>
  </si>
  <si>
    <t>ónú</t>
  </si>
  <si>
    <t>voice, neck</t>
  </si>
  <si>
    <t>IG00519</t>
  </si>
  <si>
    <t>ónwú</t>
  </si>
  <si>
    <t>death</t>
  </si>
  <si>
    <t>IG00520</t>
  </si>
  <si>
    <t>ónyé</t>
  </si>
  <si>
    <t>person</t>
  </si>
  <si>
    <t>IG00521</t>
  </si>
  <si>
    <t>ónyé álā</t>
  </si>
  <si>
    <t>lunatic</t>
  </si>
  <si>
    <t>IG00522</t>
  </si>
  <si>
    <t>ónyé áṅụ́máṅụ́</t>
  </si>
  <si>
    <t>drunkard</t>
  </si>
  <si>
    <t>IG00523</t>
  </si>
  <si>
    <t>ónyé ńkúzí</t>
  </si>
  <si>
    <t>teacher</t>
  </si>
  <si>
    <t>IG00524</t>
  </si>
  <si>
    <t>ónyé órī</t>
  </si>
  <si>
    <t>thief</t>
  </si>
  <si>
    <t>IG00525</t>
  </si>
  <si>
    <t>ònyìnyé</t>
  </si>
  <si>
    <t>gift</t>
  </si>
  <si>
    <t>IG00526</t>
  </si>
  <si>
    <t>órī</t>
  </si>
  <si>
    <t>theft</t>
  </si>
  <si>
    <t>IG00527</t>
  </si>
  <si>
    <t>ósè</t>
  </si>
  <si>
    <t>pepper</t>
  </si>
  <si>
    <t>IG00528</t>
  </si>
  <si>
    <t>òsíkápá</t>
  </si>
  <si>
    <t>rice</t>
  </si>
  <si>
    <t>IG00529</t>
  </si>
  <si>
    <t>òsìsè</t>
  </si>
  <si>
    <t>drawing</t>
  </si>
  <si>
    <t>IG00530</t>
  </si>
  <si>
    <t>ósísí</t>
  </si>
  <si>
    <t>tree</t>
  </si>
  <si>
    <t>IG00531</t>
  </si>
  <si>
    <t>òtòlò</t>
  </si>
  <si>
    <t>diarrhea</t>
  </si>
  <si>
    <t>IG00532</t>
  </si>
  <si>
    <t>ótú</t>
  </si>
  <si>
    <t>manner, way</t>
  </si>
  <si>
    <t>IG00533</t>
  </si>
  <si>
    <t>ótù</t>
  </si>
  <si>
    <t>IG00534</t>
  </si>
  <si>
    <t>òtù</t>
  </si>
  <si>
    <t>group</t>
  </si>
  <si>
    <t>IG00535</t>
  </si>
  <si>
    <t>ótùbò</t>
  </si>
  <si>
    <t>navel</t>
  </si>
  <si>
    <t>IG00536</t>
  </si>
  <si>
    <t>òtùtó</t>
  </si>
  <si>
    <t>praise</t>
  </si>
  <si>
    <t>IG00537</t>
  </si>
  <si>
    <t>òwú</t>
  </si>
  <si>
    <t>IG00538</t>
  </si>
  <si>
    <t>óyī</t>
  </si>
  <si>
    <t>cold</t>
  </si>
  <si>
    <t>IG00539</t>
  </si>
  <si>
    <t>òyìbó</t>
  </si>
  <si>
    <t>IG00540</t>
  </si>
  <si>
    <t>ózí</t>
  </si>
  <si>
    <t>errand, message</t>
  </si>
  <si>
    <t>IG00541</t>
  </si>
  <si>
    <t>ózú</t>
  </si>
  <si>
    <t>corpse</t>
  </si>
  <si>
    <t>IG00542</t>
  </si>
  <si>
    <t>ọ̀bàlà</t>
  </si>
  <si>
    <t>blood</t>
  </si>
  <si>
    <t>IG00543</t>
  </si>
  <si>
    <t>ọ̀bị́bịá</t>
  </si>
  <si>
    <t>arrival</t>
  </si>
  <si>
    <t>IG00544</t>
  </si>
  <si>
    <t>ọ̀chá</t>
  </si>
  <si>
    <t>clean, white</t>
  </si>
  <si>
    <t>IG00545</t>
  </si>
  <si>
    <t>ọ̀chị́chá</t>
  </si>
  <si>
    <t>ripening</t>
  </si>
  <si>
    <t>IG00546</t>
  </si>
  <si>
    <t>ọ́dụ̀</t>
  </si>
  <si>
    <t>tail</t>
  </si>
  <si>
    <t>IG00547</t>
  </si>
  <si>
    <t>ọ́fiá</t>
  </si>
  <si>
    <t>bush</t>
  </si>
  <si>
    <t>IG00548</t>
  </si>
  <si>
    <t>ọ̀fọ́</t>
  </si>
  <si>
    <t>scepter</t>
  </si>
  <si>
    <t>IG00549</t>
  </si>
  <si>
    <t>ọ̀fụ́má</t>
  </si>
  <si>
    <t>well</t>
  </si>
  <si>
    <t>IG00550</t>
  </si>
  <si>
    <t>ọ́fụ́ụ̄</t>
  </si>
  <si>
    <t>new</t>
  </si>
  <si>
    <t>IG00551</t>
  </si>
  <si>
    <t>ọ̀gànírú</t>
  </si>
  <si>
    <t>progress</t>
  </si>
  <si>
    <t>IG00552</t>
  </si>
  <si>
    <t>ọ́gọ̀</t>
  </si>
  <si>
    <t>in-law</t>
  </si>
  <si>
    <t>IG00553</t>
  </si>
  <si>
    <t>ọ̀gọ̀</t>
  </si>
  <si>
    <t>favor</t>
  </si>
  <si>
    <t>IG00554</t>
  </si>
  <si>
    <t>ọ́gụ̀</t>
  </si>
  <si>
    <t>hoe</t>
  </si>
  <si>
    <t>IG00555</t>
  </si>
  <si>
    <t>ọ́gụ̄</t>
  </si>
  <si>
    <t>score</t>
  </si>
  <si>
    <t>IG00556</t>
  </si>
  <si>
    <t>ọ̀gụ̀</t>
  </si>
  <si>
    <t>fight</t>
  </si>
  <si>
    <t>IG00557</t>
  </si>
  <si>
    <t>ọ̀gbọ́</t>
  </si>
  <si>
    <t>dance floor</t>
  </si>
  <si>
    <t>IG00558</t>
  </si>
  <si>
    <t>age group</t>
  </si>
  <si>
    <t>IG00559</t>
  </si>
  <si>
    <t>ọ́gwụ̀</t>
  </si>
  <si>
    <t>witchcraft, medicine</t>
  </si>
  <si>
    <t>IG00560</t>
  </si>
  <si>
    <t>ọ́hụ́rụ̄</t>
  </si>
  <si>
    <t>IG00561</t>
  </si>
  <si>
    <t>ọ̀jà</t>
  </si>
  <si>
    <t>flute</t>
  </si>
  <si>
    <t>IG00562</t>
  </si>
  <si>
    <t>ọ́jị́</t>
  </si>
  <si>
    <t>kola</t>
  </si>
  <si>
    <t>IG00563</t>
  </si>
  <si>
    <t>ọ́jị̄</t>
  </si>
  <si>
    <t>IG00564</t>
  </si>
  <si>
    <t>ọ́jọ́ọ̄</t>
  </si>
  <si>
    <t>bad</t>
  </si>
  <si>
    <t>IG00565</t>
  </si>
  <si>
    <t>ọ́kà</t>
  </si>
  <si>
    <t>maize, corn</t>
  </si>
  <si>
    <t>IG00566</t>
  </si>
  <si>
    <t>ọ́kụ́</t>
  </si>
  <si>
    <t>hot, heat, fire, electricity, light</t>
  </si>
  <si>
    <t>IG00567</t>
  </si>
  <si>
    <t>ọ̀kụ́kọ̀</t>
  </si>
  <si>
    <t>chicken</t>
  </si>
  <si>
    <t>IG00568</t>
  </si>
  <si>
    <t>ọ́kpà</t>
  </si>
  <si>
    <t>foot, leg</t>
  </si>
  <si>
    <t>IG00569</t>
  </si>
  <si>
    <t>ọ́kpụ́pụ́</t>
  </si>
  <si>
    <t>bone</t>
  </si>
  <si>
    <t>IG00570</t>
  </si>
  <si>
    <t>ọ́kpụ́zọ̀</t>
  </si>
  <si>
    <t>road</t>
  </si>
  <si>
    <t>IG00571</t>
  </si>
  <si>
    <t>ọ̀kwà</t>
  </si>
  <si>
    <t>guinea fowl</t>
  </si>
  <si>
    <t>IG00572</t>
  </si>
  <si>
    <t>ọ̀lọ̀má</t>
  </si>
  <si>
    <t>orange</t>
  </si>
  <si>
    <t>IG00573</t>
  </si>
  <si>
    <t>ọ́lụ́</t>
  </si>
  <si>
    <t>work</t>
  </si>
  <si>
    <t>IG00574</t>
  </si>
  <si>
    <t>ọ́má</t>
  </si>
  <si>
    <t>beautiful, good</t>
  </si>
  <si>
    <t>IG00575</t>
  </si>
  <si>
    <t>ọ́nọ̀dụ̀</t>
  </si>
  <si>
    <t>situation, place, condition, state</t>
  </si>
  <si>
    <t>IG00576</t>
  </si>
  <si>
    <t>ọ́nụ̄</t>
  </si>
  <si>
    <t>mouth</t>
  </si>
  <si>
    <t>IG00577</t>
  </si>
  <si>
    <t>ọ́nụ́ áfiā</t>
  </si>
  <si>
    <t>price</t>
  </si>
  <si>
    <t>IG00578</t>
  </si>
  <si>
    <t>ọ́ṅụ̀</t>
  </si>
  <si>
    <t>IG00579</t>
  </si>
  <si>
    <t>ọ́nwá</t>
  </si>
  <si>
    <t>month, moon</t>
  </si>
  <si>
    <t>IG00580</t>
  </si>
  <si>
    <t>ọ́nyá</t>
  </si>
  <si>
    <t>wound</t>
  </si>
  <si>
    <t>IG00581</t>
  </si>
  <si>
    <t>ọ́nyà</t>
  </si>
  <si>
    <t>trap</t>
  </si>
  <si>
    <t>IG00582</t>
  </si>
  <si>
    <t>ọ̀rà</t>
  </si>
  <si>
    <t>community</t>
  </si>
  <si>
    <t>IG00583</t>
  </si>
  <si>
    <t>ọ́rịà</t>
  </si>
  <si>
    <t>sickness</t>
  </si>
  <si>
    <t>IG00584</t>
  </si>
  <si>
    <t>ọ́sị́ị̄sọ̄</t>
  </si>
  <si>
    <t>quickly</t>
  </si>
  <si>
    <t>IG00585</t>
  </si>
  <si>
    <t>ọ́tọ́</t>
  </si>
  <si>
    <t>standing</t>
  </si>
  <si>
    <t>IG00586</t>
  </si>
  <si>
    <t>ọ̀tọ́</t>
  </si>
  <si>
    <t>nakedness</t>
  </si>
  <si>
    <t>IG00587</t>
  </si>
  <si>
    <t>ọ̀tụ̀rụ̀kpọ́kpọ́</t>
  </si>
  <si>
    <t>woodpecker</t>
  </si>
  <si>
    <t>IG00588</t>
  </si>
  <si>
    <t>ọ̀tụ́tụ́</t>
  </si>
  <si>
    <t>many</t>
  </si>
  <si>
    <t>IG00589</t>
  </si>
  <si>
    <t>ọ́yà</t>
  </si>
  <si>
    <t>IG00590</t>
  </si>
  <si>
    <t>ọ̀yị̀</t>
  </si>
  <si>
    <t>IG00591</t>
  </si>
  <si>
    <t>ọ̀yị̀-nwáànyị̀</t>
  </si>
  <si>
    <t>IG00592</t>
  </si>
  <si>
    <t>ọ̀zọ́</t>
  </si>
  <si>
    <t>another, again</t>
  </si>
  <si>
    <t>IG00593</t>
  </si>
  <si>
    <t>pé m̀pé</t>
  </si>
  <si>
    <t>IG00594</t>
  </si>
  <si>
    <t>pụ̀</t>
  </si>
  <si>
    <t>IG00595</t>
  </si>
  <si>
    <t>pụ̀ álá</t>
  </si>
  <si>
    <t>crazy</t>
  </si>
  <si>
    <t>IG00596</t>
  </si>
  <si>
    <t>pụ̀tà</t>
  </si>
  <si>
    <t>IG00597</t>
  </si>
  <si>
    <t>rá</t>
  </si>
  <si>
    <t>comb</t>
  </si>
  <si>
    <t>IG00598</t>
  </si>
  <si>
    <t>rá ụ́rá</t>
  </si>
  <si>
    <t>sleep</t>
  </si>
  <si>
    <t>IG00599</t>
  </si>
  <si>
    <t>rápụ̀</t>
  </si>
  <si>
    <t>IG00600</t>
  </si>
  <si>
    <t>ré</t>
  </si>
  <si>
    <t>IG00601</t>
  </si>
  <si>
    <t>rí ńnē</t>
  </si>
  <si>
    <t>IG00602</t>
  </si>
  <si>
    <t>rígó</t>
  </si>
  <si>
    <t>IG00603</t>
  </si>
  <si>
    <t>rú újú</t>
  </si>
  <si>
    <t>mourn</t>
  </si>
  <si>
    <t>IG00604</t>
  </si>
  <si>
    <t>sá àrụ́</t>
  </si>
  <si>
    <t>bathe</t>
  </si>
  <si>
    <t>IG00605</t>
  </si>
  <si>
    <t>sè</t>
  </si>
  <si>
    <t>snap(a photo), draw</t>
  </si>
  <si>
    <t>IG00606</t>
  </si>
  <si>
    <t>sétìpụ̀</t>
  </si>
  <si>
    <t>IG00607</t>
  </si>
  <si>
    <t>sí</t>
  </si>
  <si>
    <t>IG00608</t>
  </si>
  <si>
    <t>sì</t>
  </si>
  <si>
    <t>IG00609</t>
  </si>
  <si>
    <t>sị́</t>
  </si>
  <si>
    <t>say</t>
  </si>
  <si>
    <t>IG00610</t>
  </si>
  <si>
    <t>sò</t>
  </si>
  <si>
    <t>follow</t>
  </si>
  <si>
    <t>IG00611</t>
  </si>
  <si>
    <t>sụ́</t>
  </si>
  <si>
    <t>speak(a language)</t>
  </si>
  <si>
    <t>IG00612</t>
  </si>
  <si>
    <t>wash(laundry)</t>
  </si>
  <si>
    <t>IG00613</t>
  </si>
  <si>
    <t>tá álụ́</t>
  </si>
  <si>
    <t>bite</t>
  </si>
  <si>
    <t>IG00614</t>
  </si>
  <si>
    <t>tá árụ́</t>
  </si>
  <si>
    <t>IG00615</t>
  </si>
  <si>
    <t>tá ńchārá</t>
  </si>
  <si>
    <t>rust</t>
  </si>
  <si>
    <t>IG00616</t>
  </si>
  <si>
    <t>táà</t>
  </si>
  <si>
    <t>today</t>
  </si>
  <si>
    <t>IG00617</t>
  </si>
  <si>
    <t>tè áká</t>
  </si>
  <si>
    <t>far</t>
  </si>
  <si>
    <t>IG00618</t>
  </si>
  <si>
    <t>tínyé</t>
  </si>
  <si>
    <t>put</t>
  </si>
  <si>
    <t>IG00619</t>
  </si>
  <si>
    <t>tò</t>
  </si>
  <si>
    <t>IG00620</t>
  </si>
  <si>
    <t>tọ́ ụ̀tọ́</t>
  </si>
  <si>
    <t>please, sweet</t>
  </si>
  <si>
    <t>IG00621</t>
  </si>
  <si>
    <t>túfù</t>
  </si>
  <si>
    <t>throw away</t>
  </si>
  <si>
    <t>IG00622</t>
  </si>
  <si>
    <t>túpú</t>
  </si>
  <si>
    <t>before</t>
  </si>
  <si>
    <t>IG00623</t>
  </si>
  <si>
    <t>tụ́ ányá</t>
  </si>
  <si>
    <t>expect</t>
  </si>
  <si>
    <t>IG00624</t>
  </si>
  <si>
    <t>ùbé óyìbó</t>
  </si>
  <si>
    <t>avocado</t>
  </si>
  <si>
    <t>IG00625</t>
  </si>
  <si>
    <t>úbì</t>
  </si>
  <si>
    <t>farm</t>
  </si>
  <si>
    <t>IG00626</t>
  </si>
  <si>
    <t>ùbó</t>
  </si>
  <si>
    <t>piano</t>
  </si>
  <si>
    <t>IG00627</t>
  </si>
  <si>
    <t>ùbú</t>
  </si>
  <si>
    <t>shoulder</t>
  </si>
  <si>
    <t>IG00628</t>
  </si>
  <si>
    <t>ùbúlù</t>
  </si>
  <si>
    <t>brain</t>
  </si>
  <si>
    <t>IG00629</t>
  </si>
  <si>
    <t>úchè</t>
  </si>
  <si>
    <t>sense</t>
  </si>
  <si>
    <t>IG00630</t>
  </si>
  <si>
    <t>ùchíchì</t>
  </si>
  <si>
    <t>IG00631</t>
  </si>
  <si>
    <t>ùdé</t>
  </si>
  <si>
    <t>lotion</t>
  </si>
  <si>
    <t>IG00632</t>
  </si>
  <si>
    <t>fame</t>
  </si>
  <si>
    <t>IG00633</t>
  </si>
  <si>
    <t>ùdènè</t>
  </si>
  <si>
    <t>vulture</t>
  </si>
  <si>
    <t>IG00634</t>
  </si>
  <si>
    <t>ùdídō</t>
  </si>
  <si>
    <t>spider</t>
  </si>
  <si>
    <t>IG00635</t>
  </si>
  <si>
    <t>ùdó</t>
  </si>
  <si>
    <t>peace</t>
  </si>
  <si>
    <t>IG00636</t>
  </si>
  <si>
    <t>ùgègbè</t>
  </si>
  <si>
    <t>mirror</t>
  </si>
  <si>
    <t>IG00637</t>
  </si>
  <si>
    <t>ùgò</t>
  </si>
  <si>
    <t>honor, eagle</t>
  </si>
  <si>
    <t>IG00638</t>
  </si>
  <si>
    <t>úgbènè</t>
  </si>
  <si>
    <t>feather</t>
  </si>
  <si>
    <t>IG00639</t>
  </si>
  <si>
    <t>ùgbòlù</t>
  </si>
  <si>
    <t>IG00640</t>
  </si>
  <si>
    <t>úghélē</t>
  </si>
  <si>
    <t>yawn</t>
  </si>
  <si>
    <t>IG00641</t>
  </si>
  <si>
    <t>úgwō</t>
  </si>
  <si>
    <t>wage, debt</t>
  </si>
  <si>
    <t>IG00642</t>
  </si>
  <si>
    <t>úgwú</t>
  </si>
  <si>
    <t>mountain, hill</t>
  </si>
  <si>
    <t>IG00643</t>
  </si>
  <si>
    <t>úgwù</t>
  </si>
  <si>
    <t>circumcision</t>
  </si>
  <si>
    <t>IG00644</t>
  </si>
  <si>
    <t>ùgwù</t>
  </si>
  <si>
    <t>prestige, respect</t>
  </si>
  <si>
    <t>IG00645</t>
  </si>
  <si>
    <t>ùkwé</t>
  </si>
  <si>
    <t>IG00646</t>
  </si>
  <si>
    <t>úkwù</t>
  </si>
  <si>
    <t>hip</t>
  </si>
  <si>
    <t>IG00647</t>
  </si>
  <si>
    <t>úlù</t>
  </si>
  <si>
    <t>benefit, point, profit</t>
  </si>
  <si>
    <t>IG00648</t>
  </si>
  <si>
    <t>úmé</t>
  </si>
  <si>
    <t>breath</t>
  </si>
  <si>
    <t>IG00649</t>
  </si>
  <si>
    <t>úmù</t>
  </si>
  <si>
    <t>children</t>
  </si>
  <si>
    <t>IG00650</t>
  </si>
  <si>
    <t>únèlè</t>
  </si>
  <si>
    <t>banana</t>
  </si>
  <si>
    <t>IG00651</t>
  </si>
  <si>
    <t>únò</t>
  </si>
  <si>
    <t>house</t>
  </si>
  <si>
    <t>IG00652</t>
  </si>
  <si>
    <t>únò-íkpé</t>
  </si>
  <si>
    <t>courthouse</t>
  </si>
  <si>
    <t>IG00653</t>
  </si>
  <si>
    <t>únyí</t>
  </si>
  <si>
    <t>dirtiness</t>
  </si>
  <si>
    <t>IG00654</t>
  </si>
  <si>
    <t>IG00655</t>
  </si>
  <si>
    <t>ùsòrò</t>
  </si>
  <si>
    <t>procedure</t>
  </si>
  <si>
    <t>IG00656</t>
  </si>
  <si>
    <t>úté</t>
  </si>
  <si>
    <t>mat</t>
  </si>
  <si>
    <t>IG00657</t>
  </si>
  <si>
    <t>úwé</t>
  </si>
  <si>
    <t>clothes, clothing</t>
  </si>
  <si>
    <t>IG00658</t>
  </si>
  <si>
    <t>úzélē</t>
  </si>
  <si>
    <t>sneeze</t>
  </si>
  <si>
    <t>IG00659</t>
  </si>
  <si>
    <t>ụ̀bá</t>
  </si>
  <si>
    <t>abundance</t>
  </si>
  <si>
    <t>IG00660</t>
  </si>
  <si>
    <t>ụ́bọ̀chị̀</t>
  </si>
  <si>
    <t>IG00661</t>
  </si>
  <si>
    <t>ụ́bọ̀sị̀</t>
  </si>
  <si>
    <t>IG00662</t>
  </si>
  <si>
    <t>ụ̀chị́chā</t>
  </si>
  <si>
    <t>cockroach</t>
  </si>
  <si>
    <t>IG00663</t>
  </si>
  <si>
    <t>ụ̀dà</t>
  </si>
  <si>
    <t>sound</t>
  </si>
  <si>
    <t>IG00664</t>
  </si>
  <si>
    <t>ụ̀dị́</t>
  </si>
  <si>
    <t>type</t>
  </si>
  <si>
    <t>IG00665</t>
  </si>
  <si>
    <t>ụ̀dọ̀</t>
  </si>
  <si>
    <t>rope</t>
  </si>
  <si>
    <t>IG00666</t>
  </si>
  <si>
    <t>ụ̀fọ́dụ́</t>
  </si>
  <si>
    <t>some</t>
  </si>
  <si>
    <t>IG00667</t>
  </si>
  <si>
    <t>ụ́gụ̀rụ̀</t>
  </si>
  <si>
    <t>harmattan</t>
  </si>
  <si>
    <t>IG00668</t>
  </si>
  <si>
    <t>ụ́gbọ́</t>
  </si>
  <si>
    <t>vehicle</t>
  </si>
  <si>
    <t>IG00669</t>
  </si>
  <si>
    <t>ụ̀ghá</t>
  </si>
  <si>
    <t>false, fraud</t>
  </si>
  <si>
    <t>IG00670</t>
  </si>
  <si>
    <t>ụ́jọ̄</t>
  </si>
  <si>
    <t>fear</t>
  </si>
  <si>
    <t>IG00671</t>
  </si>
  <si>
    <t>ụ́kà</t>
  </si>
  <si>
    <t>church</t>
  </si>
  <si>
    <t>IG00672</t>
  </si>
  <si>
    <t>ụ̀kpànà</t>
  </si>
  <si>
    <t>grasshopper</t>
  </si>
  <si>
    <t>IG00673</t>
  </si>
  <si>
    <t>ụ́kwálà</t>
  </si>
  <si>
    <t>cough</t>
  </si>
  <si>
    <t>IG00674</t>
  </si>
  <si>
    <t>ụ́kwụ́</t>
  </si>
  <si>
    <t>leg, foot</t>
  </si>
  <si>
    <t>IG00675</t>
  </si>
  <si>
    <t>ụ́lá</t>
  </si>
  <si>
    <t>IG00676</t>
  </si>
  <si>
    <t>ụ̀lá</t>
  </si>
  <si>
    <t>slap</t>
  </si>
  <si>
    <t>IG00677</t>
  </si>
  <si>
    <t>ụ́nọ̀ ọ́gwụ̀</t>
  </si>
  <si>
    <t>hospital</t>
  </si>
  <si>
    <t>IG00678</t>
  </si>
  <si>
    <t>ụ́nụ̀</t>
  </si>
  <si>
    <t>you (plural)</t>
  </si>
  <si>
    <t>IG00679</t>
  </si>
  <si>
    <t>ụ́rá</t>
  </si>
  <si>
    <t>IG00680</t>
  </si>
  <si>
    <t>ụ̀sà</t>
  </si>
  <si>
    <t>indulgence</t>
  </si>
  <si>
    <t>IG00681</t>
  </si>
  <si>
    <t>ụ̀sọ́</t>
  </si>
  <si>
    <t>sweet</t>
  </si>
  <si>
    <t>IG00682</t>
  </si>
  <si>
    <t>ụ́sụ́</t>
  </si>
  <si>
    <t>bat</t>
  </si>
  <si>
    <t>IG00683</t>
  </si>
  <si>
    <t>ụ̀tọ́</t>
  </si>
  <si>
    <t>IG00684</t>
  </si>
  <si>
    <t>ụ̀tụ́tụ̀</t>
  </si>
  <si>
    <t>morning</t>
  </si>
  <si>
    <t>IG00685</t>
  </si>
  <si>
    <t>ụ̀wà</t>
  </si>
  <si>
    <t>earth, world</t>
  </si>
  <si>
    <t>IG00686</t>
  </si>
  <si>
    <t>IG00687</t>
  </si>
  <si>
    <t>ụ̀zọ́</t>
  </si>
  <si>
    <t>early (morning)</t>
  </si>
  <si>
    <t>IG00688</t>
  </si>
  <si>
    <t>ụ́zụ́</t>
  </si>
  <si>
    <t>blacksmith</t>
  </si>
  <si>
    <t>IG00689</t>
  </si>
  <si>
    <t>-wá</t>
  </si>
  <si>
    <t>break, break (typically intentionally)</t>
  </si>
  <si>
    <t>IG00690</t>
  </si>
  <si>
    <t>-wè</t>
  </si>
  <si>
    <t>take</t>
  </si>
  <si>
    <t>IG00691</t>
  </si>
  <si>
    <t>-wédà</t>
  </si>
  <si>
    <t>bring down (a small object)</t>
  </si>
  <si>
    <t>IG00692</t>
  </si>
  <si>
    <t>-wédàtà ànị̀</t>
  </si>
  <si>
    <t>humble</t>
  </si>
  <si>
    <t>IG00693</t>
  </si>
  <si>
    <t>-wépụ̀</t>
  </si>
  <si>
    <t>remove</t>
  </si>
  <si>
    <t>IG00694</t>
  </si>
  <si>
    <t>-wétù</t>
  </si>
  <si>
    <t>IG00695</t>
  </si>
  <si>
    <t>-wúté</t>
  </si>
  <si>
    <t>disturb</t>
  </si>
  <si>
    <t>IG00696</t>
  </si>
  <si>
    <t>-yí</t>
  </si>
  <si>
    <t>look like</t>
  </si>
  <si>
    <t>IG00697</t>
  </si>
  <si>
    <t>-yì</t>
  </si>
  <si>
    <t>wear</t>
  </si>
  <si>
    <t>IG00698</t>
  </si>
  <si>
    <t>-yị̀</t>
  </si>
  <si>
    <t>go with</t>
  </si>
  <si>
    <t>IG00699</t>
  </si>
  <si>
    <t>-yọ́</t>
  </si>
  <si>
    <t>beg</t>
  </si>
  <si>
    <t>IG00700</t>
  </si>
  <si>
    <t>-zá</t>
  </si>
  <si>
    <t>answer</t>
  </si>
  <si>
    <t>IG00701</t>
  </si>
  <si>
    <t>-zà</t>
  </si>
  <si>
    <t>sweep</t>
  </si>
  <si>
    <t>IG00702</t>
  </si>
  <si>
    <t>-zè</t>
  </si>
  <si>
    <t>watch out</t>
  </si>
  <si>
    <t>IG00703</t>
  </si>
  <si>
    <t>-zí</t>
  </si>
  <si>
    <t>teach</t>
  </si>
  <si>
    <t>IG00704</t>
  </si>
  <si>
    <t>-zó èzó</t>
  </si>
  <si>
    <t>hide</t>
  </si>
  <si>
    <t>IG00705</t>
  </si>
  <si>
    <t>-zù</t>
  </si>
  <si>
    <t>rest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</si>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</sst>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/>
    </row>
    <row r="2">
      <c r="A2" s="1" t="str">
        <f t="array" ref="A2:A1000">IF(B2:B1000="","","IG"&amp;TEXT(ROW(B2:B1000)-1,"00000"))</f>
        <v>IG00001</v>
      </c>
      <c r="B2" s="1" t="s">
        <v>5</v>
      </c>
      <c r="C2" s="1" t="s">
        <v>6</v>
      </c>
      <c r="D2" s="1" t="str">
        <f>IFERROR(__xludf.DUMMYFUNCTION("MAP(B2:B1000,LAMBDA(w,IF(w="""","""",TEXTJOIN(""-"",TRUE,IFERROR(FILTER(IF(UNICODE(MID(w,SEQUENCE(LEN(w)),1))=769,""H"",IF(UNICODE(MID(w,SEQUENCE(LEN(w)),1))=768,""L"",IF(UNICODE(MID(w,SEQUENCE(LEN(w)),1))=772,""M"",""""))),((UNICODE(MID(w,SEQUENCE(LEN(w)"&amp;"),1))=769)+(UNICODE(MID(w,SEQUENCE(LEN(w)),1))=768)+(UNICODE(MID(w,SEQUENCE(LEN(w)),1))=772))),"""")))))"),"H-H")</f>
        <v>H-H</v>
      </c>
      <c r="E2" s="1" t="str">
        <f t="array" ref="E2:E1000">IF(B2:B1000&lt;&gt;"","Igbotique","")</f>
        <v>Igbotique</v>
      </c>
    </row>
    <row r="3">
      <c r="A3" s="2" t="s">
        <v>7</v>
      </c>
      <c r="B3" s="1" t="s">
        <v>8</v>
      </c>
      <c r="C3" s="1" t="s">
        <v>9</v>
      </c>
      <c r="D3" s="2" t="str">
        <f>IFERROR(__xludf.DUMMYFUNCTION("""COMPUTED_VALUE"""),"L-H-L")</f>
        <v>L-H-L</v>
      </c>
      <c r="E3" s="2" t="s">
        <v>10</v>
      </c>
    </row>
    <row r="4">
      <c r="A4" s="2" t="s">
        <v>11</v>
      </c>
      <c r="B4" s="1" t="s">
        <v>12</v>
      </c>
      <c r="C4" s="1" t="s">
        <v>9</v>
      </c>
      <c r="D4" s="2" t="str">
        <f>IFERROR(__xludf.DUMMYFUNCTION("""COMPUTED_VALUE"""),"L-L-L")</f>
        <v>L-L-L</v>
      </c>
      <c r="E4" s="2" t="s">
        <v>10</v>
      </c>
    </row>
    <row r="5">
      <c r="A5" s="2" t="s">
        <v>13</v>
      </c>
      <c r="B5" s="1" t="s">
        <v>14</v>
      </c>
      <c r="C5" s="1" t="s">
        <v>15</v>
      </c>
      <c r="D5" s="2" t="str">
        <f>IFERROR(__xludf.DUMMYFUNCTION("""COMPUTED_VALUE"""),"H-H")</f>
        <v>H-H</v>
      </c>
      <c r="E5" s="2" t="s">
        <v>10</v>
      </c>
    </row>
    <row r="6">
      <c r="A6" s="2" t="s">
        <v>16</v>
      </c>
      <c r="B6" s="1" t="s">
        <v>17</v>
      </c>
      <c r="C6" s="1" t="s">
        <v>18</v>
      </c>
      <c r="D6" s="2" t="str">
        <f>IFERROR(__xludf.DUMMYFUNCTION("""COMPUTED_VALUE"""),"H-L")</f>
        <v>H-L</v>
      </c>
      <c r="E6" s="2" t="s">
        <v>10</v>
      </c>
    </row>
    <row r="7">
      <c r="A7" s="2" t="s">
        <v>19</v>
      </c>
      <c r="B7" s="1" t="s">
        <v>17</v>
      </c>
      <c r="C7" s="1" t="s">
        <v>20</v>
      </c>
      <c r="D7" s="2" t="str">
        <f>IFERROR(__xludf.DUMMYFUNCTION("""COMPUTED_VALUE"""),"H-L")</f>
        <v>H-L</v>
      </c>
      <c r="E7" s="2" t="s">
        <v>10</v>
      </c>
    </row>
    <row r="8">
      <c r="A8" s="2" t="s">
        <v>21</v>
      </c>
      <c r="B8" s="1" t="s">
        <v>22</v>
      </c>
      <c r="C8" s="1" t="s">
        <v>23</v>
      </c>
      <c r="D8" s="2" t="str">
        <f>IFERROR(__xludf.DUMMYFUNCTION("""COMPUTED_VALUE"""),"L-L")</f>
        <v>L-L</v>
      </c>
      <c r="E8" s="2" t="s">
        <v>10</v>
      </c>
    </row>
    <row r="9">
      <c r="A9" s="2" t="s">
        <v>24</v>
      </c>
      <c r="B9" s="1" t="s">
        <v>25</v>
      </c>
      <c r="C9" s="1" t="s">
        <v>26</v>
      </c>
      <c r="D9" s="2" t="str">
        <f>IFERROR(__xludf.DUMMYFUNCTION("""COMPUTED_VALUE"""),"H-H-L")</f>
        <v>H-H-L</v>
      </c>
      <c r="E9" s="2" t="s">
        <v>10</v>
      </c>
    </row>
    <row r="10">
      <c r="A10" s="2" t="s">
        <v>27</v>
      </c>
      <c r="B10" s="1" t="s">
        <v>28</v>
      </c>
      <c r="C10" s="1" t="s">
        <v>29</v>
      </c>
      <c r="D10" s="2" t="str">
        <f>IFERROR(__xludf.DUMMYFUNCTION("""COMPUTED_VALUE"""),"L-L-L")</f>
        <v>L-L-L</v>
      </c>
      <c r="E10" s="2" t="s">
        <v>10</v>
      </c>
    </row>
    <row r="11">
      <c r="A11" s="2" t="s">
        <v>30</v>
      </c>
      <c r="B11" s="1" t="s">
        <v>31</v>
      </c>
      <c r="C11" s="1" t="s">
        <v>32</v>
      </c>
      <c r="D11" s="2" t="str">
        <f>IFERROR(__xludf.DUMMYFUNCTION("""COMPUTED_VALUE"""),"L-L-L")</f>
        <v>L-L-L</v>
      </c>
      <c r="E11" s="2" t="s">
        <v>10</v>
      </c>
    </row>
    <row r="12">
      <c r="A12" s="2" t="s">
        <v>33</v>
      </c>
      <c r="B12" s="1" t="s">
        <v>34</v>
      </c>
      <c r="C12" s="1" t="s">
        <v>35</v>
      </c>
      <c r="D12" s="2" t="str">
        <f>IFERROR(__xludf.DUMMYFUNCTION("""COMPUTED_VALUE"""),"H-H")</f>
        <v>H-H</v>
      </c>
      <c r="E12" s="2" t="s">
        <v>10</v>
      </c>
    </row>
    <row r="13">
      <c r="A13" s="2" t="s">
        <v>36</v>
      </c>
      <c r="B13" s="1" t="s">
        <v>37</v>
      </c>
      <c r="C13" s="1" t="s">
        <v>38</v>
      </c>
      <c r="D13" s="2" t="str">
        <f>IFERROR(__xludf.DUMMYFUNCTION("""COMPUTED_VALUE"""),"L-H")</f>
        <v>L-H</v>
      </c>
      <c r="E13" s="2" t="s">
        <v>10</v>
      </c>
    </row>
    <row r="14">
      <c r="A14" s="2" t="s">
        <v>39</v>
      </c>
      <c r="B14" s="1" t="s">
        <v>5</v>
      </c>
      <c r="C14" s="1" t="s">
        <v>40</v>
      </c>
      <c r="D14" s="2" t="str">
        <f>IFERROR(__xludf.DUMMYFUNCTION("""COMPUTED_VALUE"""),"H-H")</f>
        <v>H-H</v>
      </c>
      <c r="E14" s="2" t="s">
        <v>10</v>
      </c>
    </row>
    <row r="15">
      <c r="A15" s="2" t="s">
        <v>41</v>
      </c>
      <c r="B15" s="1" t="s">
        <v>42</v>
      </c>
      <c r="C15" s="1" t="s">
        <v>43</v>
      </c>
      <c r="D15" s="2" t="str">
        <f>IFERROR(__xludf.DUMMYFUNCTION("""COMPUTED_VALUE"""),"H-L")</f>
        <v>H-L</v>
      </c>
      <c r="E15" s="2" t="s">
        <v>10</v>
      </c>
    </row>
    <row r="16">
      <c r="A16" s="2" t="s">
        <v>44</v>
      </c>
      <c r="B16" s="1" t="s">
        <v>45</v>
      </c>
      <c r="C16" s="1" t="s">
        <v>46</v>
      </c>
      <c r="D16" s="2" t="str">
        <f>IFERROR(__xludf.DUMMYFUNCTION("""COMPUTED_VALUE"""),"H-H")</f>
        <v>H-H</v>
      </c>
      <c r="E16" s="2" t="s">
        <v>10</v>
      </c>
    </row>
    <row r="17">
      <c r="A17" s="2" t="s">
        <v>47</v>
      </c>
      <c r="B17" s="1" t="s">
        <v>48</v>
      </c>
      <c r="C17" s="1" t="s">
        <v>49</v>
      </c>
      <c r="D17" s="2" t="str">
        <f>IFERROR(__xludf.DUMMYFUNCTION("""COMPUTED_VALUE"""),"H-H-H")</f>
        <v>H-H-H</v>
      </c>
      <c r="E17" s="2" t="s">
        <v>10</v>
      </c>
    </row>
    <row r="18">
      <c r="A18" s="2" t="s">
        <v>50</v>
      </c>
      <c r="B18" s="1" t="s">
        <v>51</v>
      </c>
      <c r="C18" s="1" t="s">
        <v>52</v>
      </c>
      <c r="D18" s="2" t="str">
        <f>IFERROR(__xludf.DUMMYFUNCTION("""COMPUTED_VALUE"""),"H-H")</f>
        <v>H-H</v>
      </c>
      <c r="E18" s="2" t="s">
        <v>10</v>
      </c>
    </row>
    <row r="19">
      <c r="A19" s="2" t="s">
        <v>53</v>
      </c>
      <c r="B19" s="1" t="s">
        <v>54</v>
      </c>
      <c r="C19" s="1" t="s">
        <v>55</v>
      </c>
      <c r="D19" s="2" t="str">
        <f>IFERROR(__xludf.DUMMYFUNCTION("""COMPUTED_VALUE"""),"H-H-H-M")</f>
        <v>H-H-H-M</v>
      </c>
      <c r="E19" s="2" t="s">
        <v>10</v>
      </c>
    </row>
    <row r="20">
      <c r="A20" s="2" t="s">
        <v>56</v>
      </c>
      <c r="B20" s="1" t="s">
        <v>57</v>
      </c>
      <c r="C20" s="1" t="s">
        <v>58</v>
      </c>
      <c r="D20" s="2" t="str">
        <f>IFERROR(__xludf.DUMMYFUNCTION("""COMPUTED_VALUE"""),"H-H-H-H")</f>
        <v>H-H-H-H</v>
      </c>
      <c r="E20" s="2" t="s">
        <v>10</v>
      </c>
    </row>
    <row r="21">
      <c r="A21" s="2" t="s">
        <v>59</v>
      </c>
      <c r="B21" s="1" t="s">
        <v>60</v>
      </c>
      <c r="C21" s="1" t="s">
        <v>61</v>
      </c>
      <c r="D21" s="2" t="str">
        <f>IFERROR(__xludf.DUMMYFUNCTION("""COMPUTED_VALUE"""),"H-L")</f>
        <v>H-L</v>
      </c>
      <c r="E21" s="2" t="s">
        <v>10</v>
      </c>
    </row>
    <row r="22">
      <c r="A22" s="2" t="s">
        <v>62</v>
      </c>
      <c r="B22" s="1" t="s">
        <v>63</v>
      </c>
      <c r="C22" s="1" t="s">
        <v>64</v>
      </c>
      <c r="D22" s="2" t="str">
        <f>IFERROR(__xludf.DUMMYFUNCTION("""COMPUTED_VALUE"""),"L-L-H-M")</f>
        <v>L-L-H-M</v>
      </c>
      <c r="E22" s="2" t="s">
        <v>10</v>
      </c>
    </row>
    <row r="23">
      <c r="A23" s="2" t="s">
        <v>65</v>
      </c>
      <c r="B23" s="1" t="s">
        <v>66</v>
      </c>
      <c r="C23" s="1" t="s">
        <v>67</v>
      </c>
      <c r="D23" s="2" t="str">
        <f>IFERROR(__xludf.DUMMYFUNCTION("""COMPUTED_VALUE"""),"H-H-H")</f>
        <v>H-H-H</v>
      </c>
      <c r="E23" s="2" t="s">
        <v>10</v>
      </c>
    </row>
    <row r="24">
      <c r="A24" s="2" t="s">
        <v>68</v>
      </c>
      <c r="B24" s="1" t="s">
        <v>69</v>
      </c>
      <c r="C24" s="1" t="s">
        <v>70</v>
      </c>
      <c r="D24" s="2" t="str">
        <f>IFERROR(__xludf.DUMMYFUNCTION("""COMPUTED_VALUE"""),"H-M")</f>
        <v>H-M</v>
      </c>
      <c r="E24" s="2" t="s">
        <v>10</v>
      </c>
    </row>
    <row r="25">
      <c r="A25" s="2" t="s">
        <v>71</v>
      </c>
      <c r="B25" s="1" t="s">
        <v>72</v>
      </c>
      <c r="C25" s="1" t="s">
        <v>73</v>
      </c>
      <c r="D25" s="2" t="str">
        <f>IFERROR(__xludf.DUMMYFUNCTION("""COMPUTED_VALUE"""),"H-H-M")</f>
        <v>H-H-M</v>
      </c>
      <c r="E25" s="2" t="s">
        <v>10</v>
      </c>
    </row>
    <row r="26">
      <c r="A26" s="2" t="s">
        <v>74</v>
      </c>
      <c r="B26" s="1" t="s">
        <v>75</v>
      </c>
      <c r="C26" s="1" t="s">
        <v>76</v>
      </c>
      <c r="D26" s="2" t="str">
        <f>IFERROR(__xludf.DUMMYFUNCTION("""COMPUTED_VALUE"""),"L-L")</f>
        <v>L-L</v>
      </c>
      <c r="E26" s="2" t="s">
        <v>10</v>
      </c>
    </row>
    <row r="27">
      <c r="A27" s="2" t="s">
        <v>77</v>
      </c>
      <c r="B27" s="1" t="s">
        <v>78</v>
      </c>
      <c r="C27" s="1" t="s">
        <v>79</v>
      </c>
      <c r="D27" s="2" t="str">
        <f>IFERROR(__xludf.DUMMYFUNCTION("""COMPUTED_VALUE"""),"L-L-L-H-L")</f>
        <v>L-L-L-H-L</v>
      </c>
      <c r="E27" s="2" t="s">
        <v>10</v>
      </c>
    </row>
    <row r="28">
      <c r="A28" s="2" t="s">
        <v>80</v>
      </c>
      <c r="B28" s="1" t="s">
        <v>81</v>
      </c>
      <c r="C28" s="1" t="s">
        <v>82</v>
      </c>
      <c r="D28" s="2" t="str">
        <f>IFERROR(__xludf.DUMMYFUNCTION("""COMPUTED_VALUE"""),"H-H")</f>
        <v>H-H</v>
      </c>
      <c r="E28" s="2" t="s">
        <v>10</v>
      </c>
    </row>
    <row r="29">
      <c r="A29" s="2" t="s">
        <v>83</v>
      </c>
      <c r="B29" s="1" t="s">
        <v>84</v>
      </c>
      <c r="C29" s="1" t="s">
        <v>85</v>
      </c>
      <c r="D29" s="2" t="str">
        <f>IFERROR(__xludf.DUMMYFUNCTION("""COMPUTED_VALUE"""),"H-L-L")</f>
        <v>H-L-L</v>
      </c>
      <c r="E29" s="2" t="s">
        <v>10</v>
      </c>
    </row>
    <row r="30">
      <c r="A30" s="2" t="s">
        <v>86</v>
      </c>
      <c r="B30" s="1" t="s">
        <v>87</v>
      </c>
      <c r="C30" s="1" t="s">
        <v>85</v>
      </c>
      <c r="D30" s="2" t="str">
        <f>IFERROR(__xludf.DUMMYFUNCTION("""COMPUTED_VALUE"""),"H-L-L")</f>
        <v>H-L-L</v>
      </c>
      <c r="E30" s="2" t="s">
        <v>10</v>
      </c>
    </row>
    <row r="31">
      <c r="A31" s="2" t="s">
        <v>88</v>
      </c>
      <c r="B31" s="1" t="s">
        <v>89</v>
      </c>
      <c r="C31" s="1" t="s">
        <v>90</v>
      </c>
      <c r="D31" s="2" t="str">
        <f>IFERROR(__xludf.DUMMYFUNCTION("""COMPUTED_VALUE"""),"L-L")</f>
        <v>L-L</v>
      </c>
      <c r="E31" s="2" t="s">
        <v>10</v>
      </c>
    </row>
    <row r="32">
      <c r="A32" s="2" t="s">
        <v>91</v>
      </c>
      <c r="B32" s="1" t="s">
        <v>89</v>
      </c>
      <c r="C32" s="1" t="s">
        <v>92</v>
      </c>
      <c r="D32" s="2" t="str">
        <f>IFERROR(__xludf.DUMMYFUNCTION("""COMPUTED_VALUE"""),"L-L")</f>
        <v>L-L</v>
      </c>
      <c r="E32" s="2" t="s">
        <v>10</v>
      </c>
    </row>
    <row r="33">
      <c r="A33" s="2" t="s">
        <v>93</v>
      </c>
      <c r="B33" s="1" t="s">
        <v>94</v>
      </c>
      <c r="C33" s="1" t="s">
        <v>95</v>
      </c>
      <c r="D33" s="2" t="str">
        <f>IFERROR(__xludf.DUMMYFUNCTION("""COMPUTED_VALUE"""),"H-H")</f>
        <v>H-H</v>
      </c>
      <c r="E33" s="2" t="s">
        <v>10</v>
      </c>
    </row>
    <row r="34">
      <c r="A34" s="2" t="s">
        <v>96</v>
      </c>
      <c r="B34" s="1" t="s">
        <v>97</v>
      </c>
      <c r="C34" s="1" t="s">
        <v>98</v>
      </c>
      <c r="D34" s="2" t="str">
        <f>IFERROR(__xludf.DUMMYFUNCTION("""COMPUTED_VALUE"""),"H-L")</f>
        <v>H-L</v>
      </c>
      <c r="E34" s="2" t="s">
        <v>10</v>
      </c>
    </row>
    <row r="35">
      <c r="A35" s="2" t="s">
        <v>99</v>
      </c>
      <c r="B35" s="1" t="s">
        <v>100</v>
      </c>
      <c r="C35" s="1" t="s">
        <v>46</v>
      </c>
      <c r="D35" s="2" t="str">
        <f>IFERROR(__xludf.DUMMYFUNCTION("""COMPUTED_VALUE"""),"H-H")</f>
        <v>H-H</v>
      </c>
      <c r="E35" s="2" t="s">
        <v>10</v>
      </c>
    </row>
    <row r="36">
      <c r="A36" s="2" t="s">
        <v>101</v>
      </c>
      <c r="B36" s="1" t="s">
        <v>102</v>
      </c>
      <c r="C36" s="1" t="s">
        <v>49</v>
      </c>
      <c r="D36" s="2" t="str">
        <f>IFERROR(__xludf.DUMMYFUNCTION("""COMPUTED_VALUE"""),"H-H-H")</f>
        <v>H-H-H</v>
      </c>
      <c r="E36" s="2" t="s">
        <v>10</v>
      </c>
    </row>
    <row r="37">
      <c r="A37" s="2" t="s">
        <v>103</v>
      </c>
      <c r="B37" s="1" t="s">
        <v>104</v>
      </c>
      <c r="C37" s="1" t="s">
        <v>61</v>
      </c>
      <c r="D37" s="2" t="str">
        <f>IFERROR(__xludf.DUMMYFUNCTION("""COMPUTED_VALUE"""),"H-L")</f>
        <v>H-L</v>
      </c>
      <c r="E37" s="2" t="s">
        <v>10</v>
      </c>
    </row>
    <row r="38">
      <c r="A38" s="2" t="s">
        <v>105</v>
      </c>
      <c r="B38" s="1" t="s">
        <v>106</v>
      </c>
      <c r="C38" s="1" t="s">
        <v>107</v>
      </c>
      <c r="D38" s="2" t="str">
        <f>IFERROR(__xludf.DUMMYFUNCTION("""COMPUTED_VALUE"""),"L-H")</f>
        <v>L-H</v>
      </c>
      <c r="E38" s="2" t="s">
        <v>10</v>
      </c>
    </row>
    <row r="39">
      <c r="A39" s="2" t="s">
        <v>108</v>
      </c>
      <c r="B39" s="1" t="s">
        <v>109</v>
      </c>
      <c r="C39" s="1" t="s">
        <v>110</v>
      </c>
      <c r="D39" s="2" t="str">
        <f>IFERROR(__xludf.DUMMYFUNCTION("""COMPUTED_VALUE"""),"L-H-H-M")</f>
        <v>L-H-H-M</v>
      </c>
      <c r="E39" s="2" t="s">
        <v>10</v>
      </c>
    </row>
    <row r="40">
      <c r="A40" s="2" t="s">
        <v>111</v>
      </c>
      <c r="B40" s="1" t="s">
        <v>112</v>
      </c>
      <c r="C40" s="1" t="s">
        <v>67</v>
      </c>
      <c r="D40" s="2" t="str">
        <f>IFERROR(__xludf.DUMMYFUNCTION("""COMPUTED_VALUE"""),"H-H-H")</f>
        <v>H-H-H</v>
      </c>
      <c r="E40" s="2" t="s">
        <v>10</v>
      </c>
    </row>
    <row r="41">
      <c r="A41" s="2" t="s">
        <v>113</v>
      </c>
      <c r="B41" s="1" t="s">
        <v>114</v>
      </c>
      <c r="C41" s="1" t="s">
        <v>115</v>
      </c>
      <c r="D41" s="2" t="str">
        <f>IFERROR(__xludf.DUMMYFUNCTION("""COMPUTED_VALUE"""),"H-M")</f>
        <v>H-M</v>
      </c>
      <c r="E41" s="2" t="s">
        <v>10</v>
      </c>
    </row>
    <row r="42">
      <c r="A42" s="2" t="s">
        <v>116</v>
      </c>
      <c r="B42" s="1" t="s">
        <v>117</v>
      </c>
      <c r="C42" s="1" t="s">
        <v>118</v>
      </c>
      <c r="D42" s="2" t="str">
        <f>IFERROR(__xludf.DUMMYFUNCTION("""COMPUTED_VALUE"""),"L-L")</f>
        <v>L-L</v>
      </c>
      <c r="E42" s="2" t="s">
        <v>10</v>
      </c>
    </row>
    <row r="43">
      <c r="A43" s="2" t="s">
        <v>119</v>
      </c>
      <c r="B43" s="1" t="s">
        <v>120</v>
      </c>
      <c r="C43" s="1" t="s">
        <v>121</v>
      </c>
      <c r="D43" s="2" t="str">
        <f>IFERROR(__xludf.DUMMYFUNCTION("""COMPUTED_VALUE"""),"L-L-L")</f>
        <v>L-L-L</v>
      </c>
      <c r="E43" s="2" t="s">
        <v>10</v>
      </c>
    </row>
    <row r="44">
      <c r="A44" s="2" t="s">
        <v>122</v>
      </c>
      <c r="B44" s="1" t="s">
        <v>123</v>
      </c>
      <c r="C44" s="1" t="s">
        <v>124</v>
      </c>
      <c r="D44" s="2" t="str">
        <f>IFERROR(__xludf.DUMMYFUNCTION("""COMPUTED_VALUE"""),"H-H")</f>
        <v>H-H</v>
      </c>
      <c r="E44" s="2" t="s">
        <v>10</v>
      </c>
    </row>
    <row r="45">
      <c r="A45" s="2" t="s">
        <v>125</v>
      </c>
      <c r="B45" s="1" t="s">
        <v>126</v>
      </c>
      <c r="C45" s="1" t="s">
        <v>127</v>
      </c>
      <c r="D45" s="2" t="str">
        <f>IFERROR(__xludf.DUMMYFUNCTION("""COMPUTED_VALUE"""),"H-M")</f>
        <v>H-M</v>
      </c>
      <c r="E45" s="2" t="s">
        <v>10</v>
      </c>
    </row>
    <row r="46">
      <c r="A46" s="2" t="s">
        <v>128</v>
      </c>
      <c r="B46" s="1" t="s">
        <v>129</v>
      </c>
      <c r="C46" s="1" t="s">
        <v>130</v>
      </c>
      <c r="D46" s="2" t="str">
        <f>IFERROR(__xludf.DUMMYFUNCTION("""COMPUTED_VALUE"""),"H-L")</f>
        <v>H-L</v>
      </c>
      <c r="E46" s="2" t="s">
        <v>10</v>
      </c>
    </row>
    <row r="47">
      <c r="A47" s="2" t="s">
        <v>131</v>
      </c>
      <c r="B47" s="1" t="s">
        <v>132</v>
      </c>
      <c r="C47" s="1" t="s">
        <v>133</v>
      </c>
      <c r="D47" s="2" t="str">
        <f>IFERROR(__xludf.DUMMYFUNCTION("""COMPUTED_VALUE"""),"H-L-H")</f>
        <v>H-L-H</v>
      </c>
      <c r="E47" s="2" t="s">
        <v>10</v>
      </c>
    </row>
    <row r="48">
      <c r="A48" s="2" t="s">
        <v>134</v>
      </c>
      <c r="B48" s="1" t="s">
        <v>135</v>
      </c>
      <c r="C48" s="1" t="s">
        <v>136</v>
      </c>
      <c r="D48" s="2" t="str">
        <f>IFERROR(__xludf.DUMMYFUNCTION("""COMPUTED_VALUE"""),"H-H")</f>
        <v>H-H</v>
      </c>
      <c r="E48" s="2" t="s">
        <v>10</v>
      </c>
    </row>
    <row r="49">
      <c r="A49" s="2" t="s">
        <v>137</v>
      </c>
      <c r="B49" s="1" t="s">
        <v>138</v>
      </c>
      <c r="C49" s="1" t="s">
        <v>139</v>
      </c>
      <c r="D49" s="2" t="str">
        <f>IFERROR(__xludf.DUMMYFUNCTION("""COMPUTED_VALUE"""),"H-L")</f>
        <v>H-L</v>
      </c>
      <c r="E49" s="2" t="s">
        <v>10</v>
      </c>
    </row>
    <row r="50">
      <c r="A50" s="2" t="s">
        <v>140</v>
      </c>
      <c r="B50" s="1" t="s">
        <v>141</v>
      </c>
      <c r="C50" s="1" t="s">
        <v>142</v>
      </c>
      <c r="D50" s="2" t="str">
        <f>IFERROR(__xludf.DUMMYFUNCTION("""COMPUTED_VALUE"""),"H-H")</f>
        <v>H-H</v>
      </c>
      <c r="E50" s="2" t="s">
        <v>10</v>
      </c>
    </row>
    <row r="51">
      <c r="A51" s="2" t="s">
        <v>143</v>
      </c>
      <c r="B51" s="1" t="s">
        <v>144</v>
      </c>
      <c r="C51" s="1" t="s">
        <v>145</v>
      </c>
      <c r="D51" s="2" t="str">
        <f>IFERROR(__xludf.DUMMYFUNCTION("""COMPUTED_VALUE"""),"H-H-L-L")</f>
        <v>H-H-L-L</v>
      </c>
      <c r="E51" s="2" t="s">
        <v>10</v>
      </c>
    </row>
    <row r="52">
      <c r="A52" s="2" t="s">
        <v>146</v>
      </c>
      <c r="B52" s="1" t="s">
        <v>147</v>
      </c>
      <c r="C52" s="1" t="s">
        <v>148</v>
      </c>
      <c r="D52" s="2" t="str">
        <f>IFERROR(__xludf.DUMMYFUNCTION("""COMPUTED_VALUE"""),"H-M")</f>
        <v>H-M</v>
      </c>
      <c r="E52" s="2" t="s">
        <v>10</v>
      </c>
    </row>
    <row r="53">
      <c r="A53" s="2" t="s">
        <v>149</v>
      </c>
      <c r="B53" s="1" t="s">
        <v>150</v>
      </c>
      <c r="C53" s="1" t="s">
        <v>151</v>
      </c>
      <c r="D53" s="2" t="str">
        <f>IFERROR(__xludf.DUMMYFUNCTION("""COMPUTED_VALUE"""),"H-L-H")</f>
        <v>H-L-H</v>
      </c>
      <c r="E53" s="2" t="s">
        <v>10</v>
      </c>
    </row>
    <row r="54">
      <c r="A54" s="2" t="s">
        <v>152</v>
      </c>
      <c r="B54" s="1" t="s">
        <v>153</v>
      </c>
      <c r="C54" s="1" t="s">
        <v>61</v>
      </c>
      <c r="D54" s="2" t="str">
        <f>IFERROR(__xludf.DUMMYFUNCTION("""COMPUTED_VALUE"""),"H-L")</f>
        <v>H-L</v>
      </c>
      <c r="E54" s="2" t="s">
        <v>10</v>
      </c>
    </row>
    <row r="55">
      <c r="A55" s="2" t="s">
        <v>154</v>
      </c>
      <c r="B55" s="1" t="s">
        <v>155</v>
      </c>
      <c r="C55" s="1" t="s">
        <v>156</v>
      </c>
      <c r="D55" s="2" t="str">
        <f>IFERROR(__xludf.DUMMYFUNCTION("""COMPUTED_VALUE"""),"H-M")</f>
        <v>H-M</v>
      </c>
      <c r="E55" s="2" t="s">
        <v>10</v>
      </c>
    </row>
    <row r="56">
      <c r="A56" s="2" t="s">
        <v>157</v>
      </c>
      <c r="B56" s="1" t="s">
        <v>158</v>
      </c>
      <c r="C56" s="1" t="s">
        <v>159</v>
      </c>
      <c r="D56" s="2" t="str">
        <f>IFERROR(__xludf.DUMMYFUNCTION("""COMPUTED_VALUE"""),"H-H-H-L")</f>
        <v>H-H-H-L</v>
      </c>
      <c r="E56" s="2" t="s">
        <v>10</v>
      </c>
    </row>
    <row r="57">
      <c r="A57" s="2" t="s">
        <v>160</v>
      </c>
      <c r="B57" s="1" t="s">
        <v>161</v>
      </c>
      <c r="C57" s="1" t="s">
        <v>162</v>
      </c>
      <c r="D57" s="2" t="str">
        <f>IFERROR(__xludf.DUMMYFUNCTION("""COMPUTED_VALUE"""),"H-H-L")</f>
        <v>H-H-L</v>
      </c>
      <c r="E57" s="2" t="s">
        <v>10</v>
      </c>
    </row>
    <row r="58">
      <c r="A58" s="2" t="s">
        <v>163</v>
      </c>
      <c r="B58" s="1" t="s">
        <v>164</v>
      </c>
      <c r="C58" s="1" t="s">
        <v>162</v>
      </c>
      <c r="D58" s="2" t="str">
        <f>IFERROR(__xludf.DUMMYFUNCTION("""COMPUTED_VALUE"""),"H-H-L")</f>
        <v>H-H-L</v>
      </c>
      <c r="E58" s="2" t="s">
        <v>10</v>
      </c>
    </row>
    <row r="59">
      <c r="A59" s="2" t="s">
        <v>165</v>
      </c>
      <c r="B59" s="1" t="s">
        <v>166</v>
      </c>
      <c r="C59" s="1" t="s">
        <v>167</v>
      </c>
      <c r="D59" s="2" t="str">
        <f>IFERROR(__xludf.DUMMYFUNCTION("""COMPUTED_VALUE"""),"H-H")</f>
        <v>H-H</v>
      </c>
      <c r="E59" s="2" t="s">
        <v>10</v>
      </c>
    </row>
    <row r="60">
      <c r="A60" s="2" t="s">
        <v>168</v>
      </c>
      <c r="B60" s="1" t="s">
        <v>169</v>
      </c>
      <c r="C60" s="1" t="s">
        <v>170</v>
      </c>
      <c r="D60" s="2" t="str">
        <f>IFERROR(__xludf.DUMMYFUNCTION("""COMPUTED_VALUE"""),"H-H-H-M-M")</f>
        <v>H-H-H-M-M</v>
      </c>
      <c r="E60" s="2" t="s">
        <v>10</v>
      </c>
    </row>
    <row r="61">
      <c r="A61" s="2" t="s">
        <v>171</v>
      </c>
      <c r="B61" s="1" t="s">
        <v>172</v>
      </c>
      <c r="C61" s="1" t="s">
        <v>173</v>
      </c>
      <c r="D61" s="2" t="str">
        <f>IFERROR(__xludf.DUMMYFUNCTION("""COMPUTED_VALUE"""),"H-H-M")</f>
        <v>H-H-M</v>
      </c>
      <c r="E61" s="2" t="s">
        <v>10</v>
      </c>
    </row>
    <row r="62">
      <c r="A62" s="2" t="s">
        <v>174</v>
      </c>
      <c r="B62" s="1" t="s">
        <v>175</v>
      </c>
      <c r="C62" s="1" t="s">
        <v>9</v>
      </c>
      <c r="D62" s="2" t="str">
        <f>IFERROR(__xludf.DUMMYFUNCTION("""COMPUTED_VALUE"""),"H-L-L")</f>
        <v>H-L-L</v>
      </c>
      <c r="E62" s="2" t="s">
        <v>10</v>
      </c>
    </row>
    <row r="63">
      <c r="A63" s="2" t="s">
        <v>176</v>
      </c>
      <c r="B63" s="1" t="s">
        <v>177</v>
      </c>
      <c r="C63" s="1" t="s">
        <v>178</v>
      </c>
      <c r="D63" s="2" t="str">
        <f>IFERROR(__xludf.DUMMYFUNCTION("""COMPUTED_VALUE"""),"L-H")</f>
        <v>L-H</v>
      </c>
      <c r="E63" s="2" t="s">
        <v>10</v>
      </c>
    </row>
    <row r="64">
      <c r="A64" s="2" t="s">
        <v>179</v>
      </c>
      <c r="B64" s="1" t="s">
        <v>180</v>
      </c>
      <c r="C64" s="1" t="s">
        <v>181</v>
      </c>
      <c r="D64" s="2" t="str">
        <f>IFERROR(__xludf.DUMMYFUNCTION("""COMPUTED_VALUE"""),"L-L")</f>
        <v>L-L</v>
      </c>
      <c r="E64" s="2" t="s">
        <v>10</v>
      </c>
    </row>
    <row r="65">
      <c r="A65" s="2" t="s">
        <v>182</v>
      </c>
      <c r="B65" s="1" t="s">
        <v>183</v>
      </c>
      <c r="C65" s="1" t="s">
        <v>184</v>
      </c>
      <c r="D65" s="2" t="str">
        <f>IFERROR(__xludf.DUMMYFUNCTION("""COMPUTED_VALUE"""),"H-H")</f>
        <v>H-H</v>
      </c>
      <c r="E65" s="2" t="s">
        <v>10</v>
      </c>
    </row>
    <row r="66">
      <c r="A66" s="2" t="s">
        <v>185</v>
      </c>
      <c r="B66" s="1" t="s">
        <v>186</v>
      </c>
      <c r="C66" s="1" t="s">
        <v>187</v>
      </c>
      <c r="D66" s="2" t="str">
        <f>IFERROR(__xludf.DUMMYFUNCTION("""COMPUTED_VALUE"""),"H-H-H")</f>
        <v>H-H-H</v>
      </c>
      <c r="E66" s="2" t="s">
        <v>10</v>
      </c>
    </row>
    <row r="67">
      <c r="A67" s="2" t="s">
        <v>188</v>
      </c>
      <c r="B67" s="1" t="s">
        <v>189</v>
      </c>
      <c r="C67" s="1" t="s">
        <v>190</v>
      </c>
      <c r="D67" s="2" t="str">
        <f>IFERROR(__xludf.DUMMYFUNCTION("""COMPUTED_VALUE"""),"H-L")</f>
        <v>H-L</v>
      </c>
      <c r="E67" s="2" t="s">
        <v>10</v>
      </c>
    </row>
    <row r="68">
      <c r="A68" s="2" t="s">
        <v>191</v>
      </c>
      <c r="B68" s="1" t="s">
        <v>192</v>
      </c>
      <c r="C68" s="1" t="s">
        <v>193</v>
      </c>
      <c r="D68" s="2" t="str">
        <f>IFERROR(__xludf.DUMMYFUNCTION("""COMPUTED_VALUE"""),"H-M")</f>
        <v>H-M</v>
      </c>
      <c r="E68" s="2" t="s">
        <v>10</v>
      </c>
    </row>
    <row r="69">
      <c r="A69" s="2" t="s">
        <v>194</v>
      </c>
      <c r="B69" s="1" t="s">
        <v>195</v>
      </c>
      <c r="C69" s="1" t="s">
        <v>107</v>
      </c>
      <c r="D69" s="2" t="str">
        <f>IFERROR(__xludf.DUMMYFUNCTION("""COMPUTED_VALUE"""),"L-H")</f>
        <v>L-H</v>
      </c>
      <c r="E69" s="2" t="s">
        <v>10</v>
      </c>
    </row>
    <row r="70">
      <c r="A70" s="2" t="s">
        <v>196</v>
      </c>
      <c r="B70" s="1" t="s">
        <v>197</v>
      </c>
      <c r="C70" s="1" t="s">
        <v>198</v>
      </c>
      <c r="D70" s="2" t="str">
        <f>IFERROR(__xludf.DUMMYFUNCTION("""COMPUTED_VALUE"""),"L-H-L")</f>
        <v>L-H-L</v>
      </c>
      <c r="E70" s="2" t="s">
        <v>10</v>
      </c>
    </row>
    <row r="71">
      <c r="A71" s="2" t="s">
        <v>199</v>
      </c>
      <c r="B71" s="1" t="s">
        <v>200</v>
      </c>
      <c r="D71" s="2" t="str">
        <f>IFERROR(__xludf.DUMMYFUNCTION("""COMPUTED_VALUE"""),"L-H")</f>
        <v>L-H</v>
      </c>
      <c r="E71" s="2" t="s">
        <v>10</v>
      </c>
    </row>
    <row r="72">
      <c r="A72" s="2" t="s">
        <v>201</v>
      </c>
      <c r="B72" s="1" t="s">
        <v>202</v>
      </c>
      <c r="C72" s="1" t="s">
        <v>203</v>
      </c>
      <c r="D72" s="2" t="str">
        <f>IFERROR(__xludf.DUMMYFUNCTION("""COMPUTED_VALUE"""),"L-L-L")</f>
        <v>L-L-L</v>
      </c>
      <c r="E72" s="2" t="s">
        <v>10</v>
      </c>
    </row>
    <row r="73">
      <c r="A73" s="2" t="s">
        <v>204</v>
      </c>
      <c r="B73" s="1" t="s">
        <v>205</v>
      </c>
      <c r="C73" s="1" t="s">
        <v>206</v>
      </c>
      <c r="D73" s="2" t="str">
        <f>IFERROR(__xludf.DUMMYFUNCTION("""COMPUTED_VALUE"""),"H-H-H")</f>
        <v>H-H-H</v>
      </c>
      <c r="E73" s="2" t="s">
        <v>10</v>
      </c>
    </row>
    <row r="74">
      <c r="A74" s="2" t="s">
        <v>207</v>
      </c>
      <c r="B74" s="1" t="s">
        <v>208</v>
      </c>
      <c r="C74" s="1" t="s">
        <v>209</v>
      </c>
      <c r="D74" s="2" t="str">
        <f>IFERROR(__xludf.DUMMYFUNCTION("""COMPUTED_VALUE"""),"H-H")</f>
        <v>H-H</v>
      </c>
      <c r="E74" s="2" t="s">
        <v>10</v>
      </c>
    </row>
    <row r="75">
      <c r="A75" s="2" t="s">
        <v>210</v>
      </c>
      <c r="B75" s="1" t="s">
        <v>211</v>
      </c>
      <c r="C75" s="1" t="s">
        <v>212</v>
      </c>
      <c r="D75" s="2" t="str">
        <f>IFERROR(__xludf.DUMMYFUNCTION("""COMPUTED_VALUE"""),"L-H")</f>
        <v>L-H</v>
      </c>
      <c r="E75" s="2" t="s">
        <v>10</v>
      </c>
    </row>
    <row r="76">
      <c r="A76" s="2" t="s">
        <v>213</v>
      </c>
      <c r="B76" s="1" t="s">
        <v>214</v>
      </c>
      <c r="C76" s="1" t="s">
        <v>215</v>
      </c>
      <c r="D76" s="2" t="str">
        <f>IFERROR(__xludf.DUMMYFUNCTION("""COMPUTED_VALUE"""),"H-H-M")</f>
        <v>H-H-M</v>
      </c>
      <c r="E76" s="2" t="s">
        <v>10</v>
      </c>
    </row>
    <row r="77">
      <c r="A77" s="2" t="s">
        <v>216</v>
      </c>
      <c r="B77" s="1" t="s">
        <v>217</v>
      </c>
      <c r="C77" s="1" t="s">
        <v>218</v>
      </c>
      <c r="D77" s="2" t="str">
        <f>IFERROR(__xludf.DUMMYFUNCTION("""COMPUTED_VALUE"""),"H-H-M")</f>
        <v>H-H-M</v>
      </c>
      <c r="E77" s="2" t="s">
        <v>10</v>
      </c>
    </row>
    <row r="78">
      <c r="A78" s="2" t="s">
        <v>219</v>
      </c>
      <c r="B78" s="1" t="s">
        <v>220</v>
      </c>
      <c r="C78" s="1" t="s">
        <v>221</v>
      </c>
      <c r="D78" s="2" t="str">
        <f>IFERROR(__xludf.DUMMYFUNCTION("""COMPUTED_VALUE"""),"H-H")</f>
        <v>H-H</v>
      </c>
      <c r="E78" s="2" t="s">
        <v>10</v>
      </c>
    </row>
    <row r="79">
      <c r="A79" s="2" t="s">
        <v>222</v>
      </c>
      <c r="B79" s="1" t="s">
        <v>223</v>
      </c>
      <c r="C79" s="1" t="s">
        <v>224</v>
      </c>
      <c r="D79" s="2" t="str">
        <f>IFERROR(__xludf.DUMMYFUNCTION("""COMPUTED_VALUE"""),"H-L")</f>
        <v>H-L</v>
      </c>
      <c r="E79" s="2" t="s">
        <v>10</v>
      </c>
    </row>
    <row r="80">
      <c r="A80" s="2" t="s">
        <v>225</v>
      </c>
      <c r="B80" s="1" t="s">
        <v>226</v>
      </c>
      <c r="C80" s="1" t="s">
        <v>227</v>
      </c>
      <c r="D80" s="2" t="str">
        <f>IFERROR(__xludf.DUMMYFUNCTION("""COMPUTED_VALUE"""),"H-L")</f>
        <v>H-L</v>
      </c>
      <c r="E80" s="2" t="s">
        <v>10</v>
      </c>
    </row>
    <row r="81">
      <c r="A81" s="2" t="s">
        <v>228</v>
      </c>
      <c r="B81" s="1" t="s">
        <v>229</v>
      </c>
      <c r="C81" s="1" t="s">
        <v>230</v>
      </c>
      <c r="D81" s="2" t="str">
        <f>IFERROR(__xludf.DUMMYFUNCTION("""COMPUTED_VALUE"""),"L-H")</f>
        <v>L-H</v>
      </c>
      <c r="E81" s="2" t="s">
        <v>10</v>
      </c>
    </row>
    <row r="82">
      <c r="A82" s="2" t="s">
        <v>231</v>
      </c>
      <c r="B82" s="1" t="s">
        <v>232</v>
      </c>
      <c r="C82" s="1" t="s">
        <v>233</v>
      </c>
      <c r="D82" s="2" t="str">
        <f>IFERROR(__xludf.DUMMYFUNCTION("""COMPUTED_VALUE"""),"L-H")</f>
        <v>L-H</v>
      </c>
      <c r="E82" s="2" t="s">
        <v>10</v>
      </c>
    </row>
    <row r="83">
      <c r="A83" s="2" t="s">
        <v>234</v>
      </c>
      <c r="B83" s="1" t="s">
        <v>235</v>
      </c>
      <c r="C83" s="1" t="s">
        <v>236</v>
      </c>
      <c r="D83" s="2" t="str">
        <f>IFERROR(__xludf.DUMMYFUNCTION("""COMPUTED_VALUE"""),"H-L")</f>
        <v>H-L</v>
      </c>
      <c r="E83" s="2" t="s">
        <v>10</v>
      </c>
    </row>
    <row r="84">
      <c r="A84" s="2" t="s">
        <v>237</v>
      </c>
      <c r="B84" s="1" t="s">
        <v>238</v>
      </c>
      <c r="C84" s="1" t="s">
        <v>239</v>
      </c>
      <c r="D84" s="2" t="str">
        <f>IFERROR(__xludf.DUMMYFUNCTION("""COMPUTED_VALUE"""),"L-H")</f>
        <v>L-H</v>
      </c>
      <c r="E84" s="2" t="s">
        <v>10</v>
      </c>
    </row>
    <row r="85">
      <c r="A85" s="2" t="s">
        <v>240</v>
      </c>
      <c r="B85" s="1" t="s">
        <v>241</v>
      </c>
      <c r="C85" s="1" t="s">
        <v>242</v>
      </c>
      <c r="D85" s="2" t="str">
        <f>IFERROR(__xludf.DUMMYFUNCTION("""COMPUTED_VALUE"""),"L")</f>
        <v>L</v>
      </c>
      <c r="E85" s="2" t="s">
        <v>10</v>
      </c>
    </row>
    <row r="86">
      <c r="A86" s="2" t="s">
        <v>243</v>
      </c>
      <c r="B86" s="1" t="s">
        <v>244</v>
      </c>
      <c r="C86" s="1" t="s">
        <v>245</v>
      </c>
      <c r="D86" s="2" t="str">
        <f>IFERROR(__xludf.DUMMYFUNCTION("""COMPUTED_VALUE"""),"H-H")</f>
        <v>H-H</v>
      </c>
      <c r="E86" s="2" t="s">
        <v>10</v>
      </c>
    </row>
    <row r="87">
      <c r="A87" s="2" t="s">
        <v>246</v>
      </c>
      <c r="B87" s="1" t="s">
        <v>247</v>
      </c>
      <c r="C87" s="1" t="s">
        <v>248</v>
      </c>
      <c r="D87" s="2" t="str">
        <f>IFERROR(__xludf.DUMMYFUNCTION("""COMPUTED_VALUE"""),"L-H-L")</f>
        <v>L-H-L</v>
      </c>
      <c r="E87" s="2" t="s">
        <v>10</v>
      </c>
    </row>
    <row r="88">
      <c r="A88" s="2" t="s">
        <v>249</v>
      </c>
      <c r="B88" s="1" t="s">
        <v>250</v>
      </c>
      <c r="C88" s="1" t="s">
        <v>251</v>
      </c>
      <c r="D88" s="2" t="str">
        <f>IFERROR(__xludf.DUMMYFUNCTION("""COMPUTED_VALUE"""),"L-L")</f>
        <v>L-L</v>
      </c>
      <c r="E88" s="2" t="s">
        <v>10</v>
      </c>
    </row>
    <row r="89">
      <c r="A89" s="2" t="s">
        <v>252</v>
      </c>
      <c r="B89" s="1" t="s">
        <v>253</v>
      </c>
      <c r="C89" s="1" t="s">
        <v>254</v>
      </c>
      <c r="D89" s="2" t="str">
        <f>IFERROR(__xludf.DUMMYFUNCTION("""COMPUTED_VALUE"""),"L-L")</f>
        <v>L-L</v>
      </c>
      <c r="E89" s="2" t="s">
        <v>10</v>
      </c>
    </row>
    <row r="90">
      <c r="A90" s="2" t="s">
        <v>255</v>
      </c>
      <c r="B90" s="1" t="s">
        <v>256</v>
      </c>
      <c r="C90" s="1" t="s">
        <v>257</v>
      </c>
      <c r="D90" s="2" t="str">
        <f>IFERROR(__xludf.DUMMYFUNCTION("""COMPUTED_VALUE"""),"H-H-H")</f>
        <v>H-H-H</v>
      </c>
      <c r="E90" s="2" t="s">
        <v>10</v>
      </c>
    </row>
    <row r="91">
      <c r="A91" s="2" t="s">
        <v>258</v>
      </c>
      <c r="B91" s="1" t="s">
        <v>259</v>
      </c>
      <c r="C91" s="1" t="s">
        <v>260</v>
      </c>
      <c r="D91" s="2" t="str">
        <f>IFERROR(__xludf.DUMMYFUNCTION("""COMPUTED_VALUE"""),"H-L")</f>
        <v>H-L</v>
      </c>
      <c r="E91" s="2" t="s">
        <v>10</v>
      </c>
    </row>
    <row r="92">
      <c r="A92" s="2" t="s">
        <v>261</v>
      </c>
      <c r="B92" s="1" t="s">
        <v>262</v>
      </c>
      <c r="C92" s="1" t="s">
        <v>263</v>
      </c>
      <c r="D92" s="2" t="str">
        <f>IFERROR(__xludf.DUMMYFUNCTION("""COMPUTED_VALUE"""),"H-L")</f>
        <v>H-L</v>
      </c>
      <c r="E92" s="2" t="s">
        <v>10</v>
      </c>
    </row>
    <row r="93">
      <c r="A93" s="2" t="s">
        <v>264</v>
      </c>
      <c r="B93" s="1" t="s">
        <v>265</v>
      </c>
      <c r="C93" s="1" t="s">
        <v>263</v>
      </c>
      <c r="D93" s="2" t="str">
        <f>IFERROR(__xludf.DUMMYFUNCTION("""COMPUTED_VALUE"""),"H-L")</f>
        <v>H-L</v>
      </c>
      <c r="E93" s="2" t="s">
        <v>10</v>
      </c>
    </row>
    <row r="94">
      <c r="A94" s="2" t="s">
        <v>266</v>
      </c>
      <c r="B94" s="1" t="s">
        <v>267</v>
      </c>
      <c r="C94" s="1" t="s">
        <v>268</v>
      </c>
      <c r="D94" s="2" t="str">
        <f>IFERROR(__xludf.DUMMYFUNCTION("""COMPUTED_VALUE"""),"L-H-L")</f>
        <v>L-H-L</v>
      </c>
      <c r="E94" s="2" t="s">
        <v>10</v>
      </c>
    </row>
    <row r="95">
      <c r="A95" s="2" t="s">
        <v>269</v>
      </c>
      <c r="B95" s="1" t="s">
        <v>270</v>
      </c>
      <c r="C95" s="1" t="s">
        <v>271</v>
      </c>
      <c r="D95" s="2" t="str">
        <f>IFERROR(__xludf.DUMMYFUNCTION("""COMPUTED_VALUE"""),"L-H")</f>
        <v>L-H</v>
      </c>
      <c r="E95" s="2" t="s">
        <v>10</v>
      </c>
    </row>
    <row r="96">
      <c r="A96" s="2" t="s">
        <v>272</v>
      </c>
      <c r="B96" s="1" t="s">
        <v>273</v>
      </c>
      <c r="C96" s="1" t="s">
        <v>274</v>
      </c>
      <c r="D96" s="2" t="str">
        <f>IFERROR(__xludf.DUMMYFUNCTION("""COMPUTED_VALUE"""),"H-H")</f>
        <v>H-H</v>
      </c>
      <c r="E96" s="2" t="s">
        <v>10</v>
      </c>
    </row>
    <row r="97">
      <c r="A97" s="2" t="s">
        <v>275</v>
      </c>
      <c r="B97" s="1" t="s">
        <v>276</v>
      </c>
      <c r="C97" s="1" t="s">
        <v>277</v>
      </c>
      <c r="D97" s="2" t="str">
        <f>IFERROR(__xludf.DUMMYFUNCTION("""COMPUTED_VALUE"""),"H")</f>
        <v>H</v>
      </c>
      <c r="E97" s="2" t="s">
        <v>10</v>
      </c>
    </row>
    <row r="98">
      <c r="A98" s="2" t="s">
        <v>278</v>
      </c>
      <c r="B98" s="1" t="s">
        <v>279</v>
      </c>
      <c r="C98" s="1" t="s">
        <v>280</v>
      </c>
      <c r="D98" s="2" t="str">
        <f>IFERROR(__xludf.DUMMYFUNCTION("""COMPUTED_VALUE"""),"L")</f>
        <v>L</v>
      </c>
      <c r="E98" s="2" t="s">
        <v>10</v>
      </c>
    </row>
    <row r="99">
      <c r="A99" s="2" t="s">
        <v>281</v>
      </c>
      <c r="B99" s="1" t="s">
        <v>282</v>
      </c>
      <c r="C99" s="1" t="s">
        <v>283</v>
      </c>
      <c r="D99" s="2" t="str">
        <f>IFERROR(__xludf.DUMMYFUNCTION("""COMPUTED_VALUE"""),"L-H-H")</f>
        <v>L-H-H</v>
      </c>
      <c r="E99" s="2" t="s">
        <v>10</v>
      </c>
    </row>
    <row r="100">
      <c r="A100" s="2" t="s">
        <v>284</v>
      </c>
      <c r="B100" s="1" t="s">
        <v>285</v>
      </c>
      <c r="C100" s="1" t="s">
        <v>286</v>
      </c>
      <c r="D100" s="2" t="str">
        <f>IFERROR(__xludf.DUMMYFUNCTION("""COMPUTED_VALUE"""),"L-L")</f>
        <v>L-L</v>
      </c>
      <c r="E100" s="2" t="s">
        <v>10</v>
      </c>
    </row>
    <row r="101">
      <c r="A101" s="2" t="s">
        <v>287</v>
      </c>
      <c r="B101" s="1" t="s">
        <v>288</v>
      </c>
      <c r="C101" s="1" t="s">
        <v>289</v>
      </c>
      <c r="D101" s="2" t="str">
        <f>IFERROR(__xludf.DUMMYFUNCTION("""COMPUTED_VALUE"""),"H-L")</f>
        <v>H-L</v>
      </c>
      <c r="E101" s="2" t="s">
        <v>10</v>
      </c>
    </row>
    <row r="102">
      <c r="A102" s="2" t="s">
        <v>290</v>
      </c>
      <c r="B102" s="1" t="s">
        <v>291</v>
      </c>
      <c r="C102" s="1" t="s">
        <v>292</v>
      </c>
      <c r="D102" s="2" t="str">
        <f>IFERROR(__xludf.DUMMYFUNCTION("""COMPUTED_VALUE"""),"H")</f>
        <v>H</v>
      </c>
      <c r="E102" s="2" t="s">
        <v>10</v>
      </c>
    </row>
    <row r="103">
      <c r="A103" s="2" t="s">
        <v>293</v>
      </c>
      <c r="B103" s="1" t="s">
        <v>294</v>
      </c>
      <c r="C103" s="1" t="s">
        <v>295</v>
      </c>
      <c r="D103" s="2" t="str">
        <f>IFERROR(__xludf.DUMMYFUNCTION("""COMPUTED_VALUE"""),"H-L-L")</f>
        <v>H-L-L</v>
      </c>
      <c r="E103" s="2" t="s">
        <v>10</v>
      </c>
    </row>
    <row r="104">
      <c r="A104" s="2" t="s">
        <v>296</v>
      </c>
      <c r="B104" s="1" t="s">
        <v>297</v>
      </c>
      <c r="C104" s="1" t="s">
        <v>298</v>
      </c>
      <c r="D104" s="2" t="str">
        <f>IFERROR(__xludf.DUMMYFUNCTION("""COMPUTED_VALUE"""),"H")</f>
        <v>H</v>
      </c>
      <c r="E104" s="2" t="s">
        <v>10</v>
      </c>
    </row>
    <row r="105">
      <c r="A105" s="2" t="s">
        <v>299</v>
      </c>
      <c r="B105" s="1" t="s">
        <v>300</v>
      </c>
      <c r="C105" s="1" t="s">
        <v>301</v>
      </c>
      <c r="D105" s="2" t="str">
        <f>IFERROR(__xludf.DUMMYFUNCTION("""COMPUTED_VALUE"""),"H-L")</f>
        <v>H-L</v>
      </c>
      <c r="E105" s="2" t="s">
        <v>10</v>
      </c>
    </row>
    <row r="106">
      <c r="A106" s="2" t="s">
        <v>302</v>
      </c>
      <c r="B106" s="1" t="s">
        <v>303</v>
      </c>
      <c r="C106" s="1" t="s">
        <v>304</v>
      </c>
      <c r="D106" s="2" t="str">
        <f>IFERROR(__xludf.DUMMYFUNCTION("""COMPUTED_VALUE"""),"L-H-H")</f>
        <v>L-H-H</v>
      </c>
      <c r="E106" s="2" t="s">
        <v>10</v>
      </c>
    </row>
    <row r="107">
      <c r="A107" s="2" t="s">
        <v>305</v>
      </c>
      <c r="B107" s="1" t="s">
        <v>306</v>
      </c>
      <c r="C107" s="1" t="s">
        <v>307</v>
      </c>
      <c r="D107" s="2" t="str">
        <f>IFERROR(__xludf.DUMMYFUNCTION("""COMPUTED_VALUE"""),"L-L")</f>
        <v>L-L</v>
      </c>
      <c r="E107" s="2" t="s">
        <v>10</v>
      </c>
    </row>
    <row r="108">
      <c r="A108" s="2" t="s">
        <v>308</v>
      </c>
      <c r="B108" s="1" t="s">
        <v>309</v>
      </c>
      <c r="C108" s="1" t="s">
        <v>310</v>
      </c>
      <c r="D108" s="2" t="str">
        <f>IFERROR(__xludf.DUMMYFUNCTION("""COMPUTED_VALUE"""),"H")</f>
        <v>H</v>
      </c>
      <c r="E108" s="2" t="s">
        <v>10</v>
      </c>
    </row>
    <row r="109">
      <c r="A109" s="2" t="s">
        <v>311</v>
      </c>
      <c r="B109" s="1" t="s">
        <v>312</v>
      </c>
      <c r="C109" s="1" t="s">
        <v>313</v>
      </c>
      <c r="D109" s="2" t="str">
        <f>IFERROR(__xludf.DUMMYFUNCTION("""COMPUTED_VALUE"""),"H-H")</f>
        <v>H-H</v>
      </c>
      <c r="E109" s="2" t="s">
        <v>10</v>
      </c>
    </row>
    <row r="110">
      <c r="A110" s="2" t="s">
        <v>314</v>
      </c>
      <c r="B110" s="1" t="s">
        <v>315</v>
      </c>
      <c r="C110" s="1" t="s">
        <v>316</v>
      </c>
      <c r="D110" s="2" t="str">
        <f>IFERROR(__xludf.DUMMYFUNCTION("""COMPUTED_VALUE"""),"H")</f>
        <v>H</v>
      </c>
      <c r="E110" s="2" t="s">
        <v>10</v>
      </c>
    </row>
    <row r="111">
      <c r="A111" s="2" t="s">
        <v>317</v>
      </c>
      <c r="B111" s="1" t="s">
        <v>318</v>
      </c>
      <c r="C111" s="1" t="s">
        <v>319</v>
      </c>
      <c r="D111" s="2" t="str">
        <f>IFERROR(__xludf.DUMMYFUNCTION("""COMPUTED_VALUE"""),"H-L")</f>
        <v>H-L</v>
      </c>
      <c r="E111" s="2" t="s">
        <v>10</v>
      </c>
    </row>
    <row r="112">
      <c r="A112" s="2" t="s">
        <v>320</v>
      </c>
      <c r="B112" s="1" t="s">
        <v>321</v>
      </c>
      <c r="C112" s="1" t="s">
        <v>322</v>
      </c>
      <c r="D112" s="2" t="str">
        <f>IFERROR(__xludf.DUMMYFUNCTION("""COMPUTED_VALUE"""),"H-H-M")</f>
        <v>H-H-M</v>
      </c>
      <c r="E112" s="2" t="s">
        <v>10</v>
      </c>
    </row>
    <row r="113">
      <c r="A113" s="2" t="s">
        <v>323</v>
      </c>
      <c r="B113" s="1" t="s">
        <v>324</v>
      </c>
      <c r="C113" s="1" t="s">
        <v>325</v>
      </c>
      <c r="D113" s="2" t="str">
        <f>IFERROR(__xludf.DUMMYFUNCTION("""COMPUTED_VALUE"""),"H-H")</f>
        <v>H-H</v>
      </c>
      <c r="E113" s="2" t="s">
        <v>10</v>
      </c>
    </row>
    <row r="114">
      <c r="A114" s="2" t="s">
        <v>326</v>
      </c>
      <c r="B114" s="1" t="s">
        <v>327</v>
      </c>
      <c r="C114" s="1" t="s">
        <v>328</v>
      </c>
      <c r="D114" s="2" t="str">
        <f>IFERROR(__xludf.DUMMYFUNCTION("""COMPUTED_VALUE"""),"H-H")</f>
        <v>H-H</v>
      </c>
      <c r="E114" s="2" t="s">
        <v>10</v>
      </c>
    </row>
    <row r="115">
      <c r="A115" s="2" t="s">
        <v>329</v>
      </c>
      <c r="B115" s="1" t="s">
        <v>330</v>
      </c>
      <c r="C115" s="1" t="s">
        <v>331</v>
      </c>
      <c r="D115" s="2" t="str">
        <f>IFERROR(__xludf.DUMMYFUNCTION("""COMPUTED_VALUE"""),"H-H-H-H-H-L")</f>
        <v>H-H-H-H-H-L</v>
      </c>
      <c r="E115" s="2" t="s">
        <v>10</v>
      </c>
    </row>
    <row r="116">
      <c r="A116" s="2" t="s">
        <v>332</v>
      </c>
      <c r="B116" s="1" t="s">
        <v>333</v>
      </c>
      <c r="C116" s="1" t="s">
        <v>170</v>
      </c>
      <c r="D116" s="2" t="str">
        <f>IFERROR(__xludf.DUMMYFUNCTION("""COMPUTED_VALUE"""),"H-H")</f>
        <v>H-H</v>
      </c>
      <c r="E116" s="2" t="s">
        <v>10</v>
      </c>
    </row>
    <row r="117">
      <c r="A117" s="2" t="s">
        <v>334</v>
      </c>
      <c r="B117" s="1" t="s">
        <v>335</v>
      </c>
      <c r="C117" s="1" t="s">
        <v>336</v>
      </c>
      <c r="D117" s="2" t="str">
        <f>IFERROR(__xludf.DUMMYFUNCTION("""COMPUTED_VALUE"""),"H")</f>
        <v>H</v>
      </c>
      <c r="E117" s="2" t="s">
        <v>10</v>
      </c>
    </row>
    <row r="118">
      <c r="A118" s="2" t="s">
        <v>337</v>
      </c>
      <c r="B118" s="1" t="s">
        <v>338</v>
      </c>
      <c r="C118" s="1" t="s">
        <v>339</v>
      </c>
      <c r="D118" s="2" t="str">
        <f>IFERROR(__xludf.DUMMYFUNCTION("""COMPUTED_VALUE"""),"L-H-L")</f>
        <v>L-H-L</v>
      </c>
      <c r="E118" s="2" t="s">
        <v>10</v>
      </c>
    </row>
    <row r="119">
      <c r="A119" s="2" t="s">
        <v>340</v>
      </c>
      <c r="B119" s="1" t="s">
        <v>341</v>
      </c>
      <c r="C119" s="1" t="s">
        <v>342</v>
      </c>
      <c r="D119" s="2" t="str">
        <f>IFERROR(__xludf.DUMMYFUNCTION("""COMPUTED_VALUE"""),"H-H-H-H")</f>
        <v>H-H-H-H</v>
      </c>
      <c r="E119" s="2" t="s">
        <v>10</v>
      </c>
    </row>
    <row r="120">
      <c r="A120" s="2" t="s">
        <v>343</v>
      </c>
      <c r="B120" s="1" t="s">
        <v>344</v>
      </c>
      <c r="C120" s="1" t="s">
        <v>339</v>
      </c>
      <c r="D120" s="2" t="str">
        <f>IFERROR(__xludf.DUMMYFUNCTION("""COMPUTED_VALUE"""),"L-H-L")</f>
        <v>L-H-L</v>
      </c>
      <c r="E120" s="2" t="s">
        <v>10</v>
      </c>
    </row>
    <row r="121">
      <c r="A121" s="2" t="s">
        <v>345</v>
      </c>
      <c r="B121" s="1" t="s">
        <v>346</v>
      </c>
      <c r="C121" s="1" t="s">
        <v>347</v>
      </c>
      <c r="D121" s="2" t="str">
        <f>IFERROR(__xludf.DUMMYFUNCTION("""COMPUTED_VALUE"""),"L-L")</f>
        <v>L-L</v>
      </c>
      <c r="E121" s="2" t="s">
        <v>10</v>
      </c>
    </row>
    <row r="122">
      <c r="A122" s="2" t="s">
        <v>348</v>
      </c>
      <c r="B122" s="1" t="s">
        <v>346</v>
      </c>
      <c r="C122" s="1" t="s">
        <v>349</v>
      </c>
      <c r="D122" s="2" t="str">
        <f>IFERROR(__xludf.DUMMYFUNCTION("""COMPUTED_VALUE"""),"L-L")</f>
        <v>L-L</v>
      </c>
      <c r="E122" s="2" t="s">
        <v>10</v>
      </c>
    </row>
    <row r="123">
      <c r="A123" s="2" t="s">
        <v>350</v>
      </c>
      <c r="B123" s="1" t="s">
        <v>351</v>
      </c>
      <c r="C123" s="1" t="s">
        <v>352</v>
      </c>
      <c r="D123" s="2" t="str">
        <f>IFERROR(__xludf.DUMMYFUNCTION("""COMPUTED_VALUE"""),"L-L-L")</f>
        <v>L-L-L</v>
      </c>
      <c r="E123" s="2" t="s">
        <v>10</v>
      </c>
    </row>
    <row r="124">
      <c r="A124" s="2" t="s">
        <v>353</v>
      </c>
      <c r="B124" s="1" t="s">
        <v>354</v>
      </c>
      <c r="C124" s="1" t="s">
        <v>355</v>
      </c>
      <c r="D124" s="2" t="str">
        <f>IFERROR(__xludf.DUMMYFUNCTION("""COMPUTED_VALUE"""),"L-L-L")</f>
        <v>L-L-L</v>
      </c>
      <c r="E124" s="2" t="s">
        <v>10</v>
      </c>
    </row>
    <row r="125">
      <c r="A125" s="2" t="s">
        <v>356</v>
      </c>
      <c r="B125" s="1" t="s">
        <v>357</v>
      </c>
      <c r="C125" s="1" t="s">
        <v>358</v>
      </c>
      <c r="D125" s="2" t="str">
        <f>IFERROR(__xludf.DUMMYFUNCTION("""COMPUTED_VALUE"""),"H-H")</f>
        <v>H-H</v>
      </c>
      <c r="E125" s="2" t="s">
        <v>10</v>
      </c>
    </row>
    <row r="126">
      <c r="A126" s="2" t="s">
        <v>359</v>
      </c>
      <c r="B126" s="1" t="s">
        <v>360</v>
      </c>
      <c r="C126" s="1" t="s">
        <v>358</v>
      </c>
      <c r="D126" s="2" t="str">
        <f>IFERROR(__xludf.DUMMYFUNCTION("""COMPUTED_VALUE"""),"H-H-H-M-M")</f>
        <v>H-H-H-M-M</v>
      </c>
      <c r="E126" s="2" t="s">
        <v>10</v>
      </c>
    </row>
    <row r="127">
      <c r="A127" s="2" t="s">
        <v>361</v>
      </c>
      <c r="B127" s="1" t="s">
        <v>362</v>
      </c>
      <c r="C127" s="1" t="s">
        <v>363</v>
      </c>
      <c r="D127" s="2" t="str">
        <f>IFERROR(__xludf.DUMMYFUNCTION("""COMPUTED_VALUE"""),"H-L-L")</f>
        <v>H-L-L</v>
      </c>
      <c r="E127" s="2" t="s">
        <v>10</v>
      </c>
    </row>
    <row r="128">
      <c r="A128" s="2" t="s">
        <v>364</v>
      </c>
      <c r="B128" s="1" t="s">
        <v>365</v>
      </c>
      <c r="C128" s="1" t="s">
        <v>366</v>
      </c>
      <c r="D128" s="2" t="str">
        <f>IFERROR(__xludf.DUMMYFUNCTION("""COMPUTED_VALUE"""),"H-L")</f>
        <v>H-L</v>
      </c>
      <c r="E128" s="2" t="s">
        <v>10</v>
      </c>
    </row>
    <row r="129">
      <c r="A129" s="2" t="s">
        <v>367</v>
      </c>
      <c r="B129" s="1" t="s">
        <v>368</v>
      </c>
      <c r="C129" s="1" t="s">
        <v>369</v>
      </c>
      <c r="D129" s="2" t="str">
        <f>IFERROR(__xludf.DUMMYFUNCTION("""COMPUTED_VALUE"""),"L-L")</f>
        <v>L-L</v>
      </c>
      <c r="E129" s="2" t="s">
        <v>10</v>
      </c>
    </row>
    <row r="130">
      <c r="A130" s="2" t="s">
        <v>370</v>
      </c>
      <c r="B130" s="1" t="s">
        <v>371</v>
      </c>
      <c r="C130" s="1" t="s">
        <v>372</v>
      </c>
      <c r="D130" s="2" t="str">
        <f>IFERROR(__xludf.DUMMYFUNCTION("""COMPUTED_VALUE"""),"H-L")</f>
        <v>H-L</v>
      </c>
      <c r="E130" s="2" t="s">
        <v>10</v>
      </c>
    </row>
    <row r="131">
      <c r="A131" s="2" t="s">
        <v>373</v>
      </c>
      <c r="B131" s="1" t="s">
        <v>374</v>
      </c>
      <c r="C131" s="1" t="s">
        <v>375</v>
      </c>
      <c r="D131" s="2" t="str">
        <f>IFERROR(__xludf.DUMMYFUNCTION("""COMPUTED_VALUE"""),"L-L")</f>
        <v>L-L</v>
      </c>
      <c r="E131" s="2" t="s">
        <v>10</v>
      </c>
    </row>
    <row r="132">
      <c r="A132" s="2" t="s">
        <v>376</v>
      </c>
      <c r="B132" s="1" t="s">
        <v>377</v>
      </c>
      <c r="C132" s="1" t="s">
        <v>378</v>
      </c>
      <c r="D132" s="2" t="str">
        <f>IFERROR(__xludf.DUMMYFUNCTION("""COMPUTED_VALUE"""),"H-H-H")</f>
        <v>H-H-H</v>
      </c>
      <c r="E132" s="2" t="s">
        <v>10</v>
      </c>
    </row>
    <row r="133">
      <c r="A133" s="2" t="s">
        <v>379</v>
      </c>
      <c r="B133" s="1" t="s">
        <v>380</v>
      </c>
      <c r="C133" s="1" t="s">
        <v>381</v>
      </c>
      <c r="D133" s="2" t="str">
        <f>IFERROR(__xludf.DUMMYFUNCTION("""COMPUTED_VALUE"""),"H-H")</f>
        <v>H-H</v>
      </c>
      <c r="E133" s="2" t="s">
        <v>10</v>
      </c>
    </row>
    <row r="134">
      <c r="A134" s="2" t="s">
        <v>382</v>
      </c>
      <c r="B134" s="1" t="s">
        <v>383</v>
      </c>
      <c r="C134" s="1" t="s">
        <v>384</v>
      </c>
      <c r="D134" s="2" t="str">
        <f>IFERROR(__xludf.DUMMYFUNCTION("""COMPUTED_VALUE"""),"L-H-L")</f>
        <v>L-H-L</v>
      </c>
      <c r="E134" s="2" t="s">
        <v>10</v>
      </c>
    </row>
    <row r="135">
      <c r="A135" s="2" t="s">
        <v>385</v>
      </c>
      <c r="B135" s="1" t="s">
        <v>386</v>
      </c>
      <c r="C135" s="1" t="s">
        <v>387</v>
      </c>
      <c r="D135" s="2" t="str">
        <f>IFERROR(__xludf.DUMMYFUNCTION("""COMPUTED_VALUE"""),"H-L")</f>
        <v>H-L</v>
      </c>
      <c r="E135" s="2" t="s">
        <v>10</v>
      </c>
    </row>
    <row r="136">
      <c r="A136" s="2" t="s">
        <v>388</v>
      </c>
      <c r="B136" s="1" t="s">
        <v>389</v>
      </c>
      <c r="C136" s="1" t="s">
        <v>390</v>
      </c>
      <c r="D136" s="2" t="str">
        <f>IFERROR(__xludf.DUMMYFUNCTION("""COMPUTED_VALUE"""),"H-M")</f>
        <v>H-M</v>
      </c>
      <c r="E136" s="2" t="s">
        <v>10</v>
      </c>
    </row>
    <row r="137">
      <c r="A137" s="2" t="s">
        <v>391</v>
      </c>
      <c r="B137" s="1" t="s">
        <v>392</v>
      </c>
      <c r="C137" s="1" t="s">
        <v>393</v>
      </c>
      <c r="D137" s="2" t="str">
        <f>IFERROR(__xludf.DUMMYFUNCTION("""COMPUTED_VALUE"""),"H-H")</f>
        <v>H-H</v>
      </c>
      <c r="E137" s="2" t="s">
        <v>10</v>
      </c>
    </row>
    <row r="138">
      <c r="A138" s="2" t="s">
        <v>394</v>
      </c>
      <c r="B138" s="1" t="s">
        <v>395</v>
      </c>
      <c r="C138" s="1" t="s">
        <v>396</v>
      </c>
      <c r="D138" s="2" t="str">
        <f>IFERROR(__xludf.DUMMYFUNCTION("""COMPUTED_VALUE"""),"H-L")</f>
        <v>H-L</v>
      </c>
      <c r="E138" s="2" t="s">
        <v>10</v>
      </c>
    </row>
    <row r="139">
      <c r="A139" s="2" t="s">
        <v>397</v>
      </c>
      <c r="B139" s="1" t="s">
        <v>398</v>
      </c>
      <c r="C139" s="1" t="s">
        <v>399</v>
      </c>
      <c r="D139" s="2" t="str">
        <f>IFERROR(__xludf.DUMMYFUNCTION("""COMPUTED_VALUE"""),"H-L-H-M")</f>
        <v>H-L-H-M</v>
      </c>
      <c r="E139" s="2" t="s">
        <v>10</v>
      </c>
    </row>
    <row r="140">
      <c r="A140" s="2" t="s">
        <v>400</v>
      </c>
      <c r="B140" s="1" t="s">
        <v>401</v>
      </c>
      <c r="C140" s="1" t="s">
        <v>402</v>
      </c>
      <c r="D140" s="2" t="str">
        <f>IFERROR(__xludf.DUMMYFUNCTION("""COMPUTED_VALUE"""),"H-H")</f>
        <v>H-H</v>
      </c>
      <c r="E140" s="2" t="s">
        <v>10</v>
      </c>
    </row>
    <row r="141">
      <c r="A141" s="2" t="s">
        <v>403</v>
      </c>
      <c r="B141" s="1" t="s">
        <v>404</v>
      </c>
      <c r="C141" s="1" t="s">
        <v>405</v>
      </c>
      <c r="D141" s="2" t="str">
        <f>IFERROR(__xludf.DUMMYFUNCTION("""COMPUTED_VALUE"""),"H-L")</f>
        <v>H-L</v>
      </c>
      <c r="E141" s="2" t="s">
        <v>10</v>
      </c>
    </row>
    <row r="142">
      <c r="A142" s="2" t="s">
        <v>406</v>
      </c>
      <c r="B142" s="1" t="s">
        <v>407</v>
      </c>
      <c r="C142" s="1" t="s">
        <v>381</v>
      </c>
      <c r="D142" s="2" t="str">
        <f>IFERROR(__xludf.DUMMYFUNCTION("""COMPUTED_VALUE"""),"H-H")</f>
        <v>H-H</v>
      </c>
      <c r="E142" s="2" t="s">
        <v>10</v>
      </c>
    </row>
    <row r="143">
      <c r="A143" s="2" t="s">
        <v>408</v>
      </c>
      <c r="B143" s="1" t="s">
        <v>409</v>
      </c>
      <c r="C143" s="1" t="s">
        <v>410</v>
      </c>
      <c r="D143" s="2" t="str">
        <f>IFERROR(__xludf.DUMMYFUNCTION("""COMPUTED_VALUE"""),"L-H-L")</f>
        <v>L-H-L</v>
      </c>
      <c r="E143" s="2" t="s">
        <v>10</v>
      </c>
    </row>
    <row r="144">
      <c r="A144" s="2" t="s">
        <v>411</v>
      </c>
      <c r="B144" s="1" t="s">
        <v>412</v>
      </c>
      <c r="C144" s="1" t="s">
        <v>413</v>
      </c>
      <c r="D144" s="1" t="str">
        <f>IFERROR(__xludf.DUMMYFUNCTION("""COMPUTED_VALUE"""),"H-H-H-L")</f>
        <v>H-H-H-L</v>
      </c>
      <c r="E144" s="2" t="s">
        <v>10</v>
      </c>
    </row>
    <row r="145">
      <c r="A145" s="2" t="s">
        <v>414</v>
      </c>
      <c r="B145" s="1" t="s">
        <v>413</v>
      </c>
      <c r="C145" s="1" t="s">
        <v>415</v>
      </c>
      <c r="D145" s="2" t="str">
        <f>IFERROR(__xludf.DUMMYFUNCTION("""COMPUTED_VALUE"""),"L-L-H")</f>
        <v>L-L-H</v>
      </c>
      <c r="E145" s="2" t="s">
        <v>10</v>
      </c>
    </row>
    <row r="146">
      <c r="A146" s="2" t="s">
        <v>416</v>
      </c>
      <c r="B146" s="1" t="s">
        <v>417</v>
      </c>
      <c r="C146" s="1" t="s">
        <v>418</v>
      </c>
      <c r="D146" s="2" t="str">
        <f>IFERROR(__xludf.DUMMYFUNCTION("""COMPUTED_VALUE"""),"H-L-L")</f>
        <v>H-L-L</v>
      </c>
      <c r="E146" s="2" t="s">
        <v>10</v>
      </c>
    </row>
    <row r="147">
      <c r="A147" s="2" t="s">
        <v>419</v>
      </c>
      <c r="B147" s="1" t="s">
        <v>420</v>
      </c>
      <c r="C147" s="1" t="s">
        <v>421</v>
      </c>
      <c r="D147" s="2" t="str">
        <f>IFERROR(__xludf.DUMMYFUNCTION("""COMPUTED_VALUE"""),"H-H")</f>
        <v>H-H</v>
      </c>
      <c r="E147" s="2" t="s">
        <v>10</v>
      </c>
    </row>
    <row r="148">
      <c r="A148" s="2" t="s">
        <v>422</v>
      </c>
      <c r="B148" s="1" t="s">
        <v>423</v>
      </c>
      <c r="C148" s="1" t="s">
        <v>424</v>
      </c>
      <c r="D148" s="2" t="str">
        <f>IFERROR(__xludf.DUMMYFUNCTION("""COMPUTED_VALUE"""),"L-L-H")</f>
        <v>L-L-H</v>
      </c>
      <c r="E148" s="2" t="s">
        <v>10</v>
      </c>
    </row>
    <row r="149">
      <c r="A149" s="2" t="s">
        <v>425</v>
      </c>
      <c r="B149" s="1" t="s">
        <v>426</v>
      </c>
      <c r="C149" s="1" t="s">
        <v>427</v>
      </c>
      <c r="D149" s="2" t="str">
        <f>IFERROR(__xludf.DUMMYFUNCTION("""COMPUTED_VALUE"""),"H-H")</f>
        <v>H-H</v>
      </c>
      <c r="E149" s="2" t="s">
        <v>10</v>
      </c>
    </row>
    <row r="150">
      <c r="A150" s="2" t="s">
        <v>428</v>
      </c>
      <c r="B150" s="1" t="s">
        <v>429</v>
      </c>
      <c r="C150" s="1" t="s">
        <v>430</v>
      </c>
      <c r="D150" s="2" t="str">
        <f>IFERROR(__xludf.DUMMYFUNCTION("""COMPUTED_VALUE"""),"L-H-H")</f>
        <v>L-H-H</v>
      </c>
      <c r="E150" s="2" t="s">
        <v>10</v>
      </c>
    </row>
    <row r="151">
      <c r="A151" s="2" t="s">
        <v>431</v>
      </c>
      <c r="B151" s="1" t="s">
        <v>432</v>
      </c>
      <c r="C151" s="1" t="s">
        <v>433</v>
      </c>
      <c r="D151" s="2" t="str">
        <f>IFERROR(__xludf.DUMMYFUNCTION("""COMPUTED_VALUE"""),"H-H")</f>
        <v>H-H</v>
      </c>
      <c r="E151" s="2" t="s">
        <v>10</v>
      </c>
    </row>
    <row r="152">
      <c r="A152" s="2" t="s">
        <v>434</v>
      </c>
      <c r="B152" s="1" t="s">
        <v>435</v>
      </c>
      <c r="C152" s="1" t="s">
        <v>436</v>
      </c>
      <c r="D152" s="2" t="str">
        <f>IFERROR(__xludf.DUMMYFUNCTION("""COMPUTED_VALUE"""),"H-H")</f>
        <v>H-H</v>
      </c>
      <c r="E152" s="2" t="s">
        <v>10</v>
      </c>
    </row>
    <row r="153">
      <c r="A153" s="2" t="s">
        <v>437</v>
      </c>
      <c r="B153" s="1" t="s">
        <v>438</v>
      </c>
      <c r="C153" s="1" t="s">
        <v>439</v>
      </c>
      <c r="D153" s="2" t="str">
        <f>IFERROR(__xludf.DUMMYFUNCTION("""COMPUTED_VALUE"""),"H-H-H")</f>
        <v>H-H-H</v>
      </c>
      <c r="E153" s="2" t="s">
        <v>10</v>
      </c>
    </row>
    <row r="154">
      <c r="A154" s="2" t="s">
        <v>440</v>
      </c>
      <c r="B154" s="1" t="s">
        <v>441</v>
      </c>
      <c r="C154" s="1" t="s">
        <v>442</v>
      </c>
      <c r="D154" s="2" t="str">
        <f>IFERROR(__xludf.DUMMYFUNCTION("""COMPUTED_VALUE"""),"H-H-H-H-M")</f>
        <v>H-H-H-H-M</v>
      </c>
      <c r="E154" s="2" t="s">
        <v>10</v>
      </c>
    </row>
    <row r="155">
      <c r="A155" s="2" t="s">
        <v>443</v>
      </c>
      <c r="B155" s="1" t="s">
        <v>444</v>
      </c>
      <c r="C155" s="1" t="s">
        <v>445</v>
      </c>
      <c r="D155" s="2" t="str">
        <f>IFERROR(__xludf.DUMMYFUNCTION("""COMPUTED_VALUE"""),"H-M")</f>
        <v>H-M</v>
      </c>
      <c r="E155" s="2" t="s">
        <v>10</v>
      </c>
    </row>
    <row r="156">
      <c r="A156" s="2" t="s">
        <v>446</v>
      </c>
      <c r="B156" s="1" t="s">
        <v>447</v>
      </c>
      <c r="C156" s="1" t="s">
        <v>448</v>
      </c>
      <c r="D156" s="2" t="str">
        <f>IFERROR(__xludf.DUMMYFUNCTION("""COMPUTED_VALUE"""),"H-H")</f>
        <v>H-H</v>
      </c>
      <c r="E156" s="2" t="s">
        <v>10</v>
      </c>
    </row>
    <row r="157">
      <c r="A157" s="2" t="s">
        <v>449</v>
      </c>
      <c r="B157" s="1" t="s">
        <v>450</v>
      </c>
      <c r="C157" s="1" t="s">
        <v>451</v>
      </c>
      <c r="D157" s="2" t="str">
        <f>IFERROR(__xludf.DUMMYFUNCTION("""COMPUTED_VALUE"""),"H-H-H-M")</f>
        <v>H-H-H-M</v>
      </c>
      <c r="E157" s="2" t="s">
        <v>10</v>
      </c>
    </row>
    <row r="158">
      <c r="A158" s="2" t="s">
        <v>452</v>
      </c>
      <c r="B158" s="1" t="s">
        <v>453</v>
      </c>
      <c r="C158" s="1" t="s">
        <v>448</v>
      </c>
      <c r="D158" s="2" t="str">
        <f>IFERROR(__xludf.DUMMYFUNCTION("""COMPUTED_VALUE"""),"H-H")</f>
        <v>H-H</v>
      </c>
      <c r="E158" s="2" t="s">
        <v>10</v>
      </c>
    </row>
    <row r="159">
      <c r="A159" s="2" t="s">
        <v>454</v>
      </c>
      <c r="B159" s="1" t="s">
        <v>455</v>
      </c>
      <c r="C159" s="1" t="s">
        <v>456</v>
      </c>
      <c r="D159" s="2" t="str">
        <f>IFERROR(__xludf.DUMMYFUNCTION("""COMPUTED_VALUE"""),"L-L")</f>
        <v>L-L</v>
      </c>
      <c r="E159" s="2" t="s">
        <v>10</v>
      </c>
    </row>
    <row r="160">
      <c r="A160" s="2" t="s">
        <v>457</v>
      </c>
      <c r="B160" s="1" t="s">
        <v>458</v>
      </c>
      <c r="C160" s="1" t="s">
        <v>459</v>
      </c>
      <c r="D160" s="2" t="str">
        <f>IFERROR(__xludf.DUMMYFUNCTION("""COMPUTED_VALUE"""),"H-H")</f>
        <v>H-H</v>
      </c>
      <c r="E160" s="2" t="s">
        <v>10</v>
      </c>
    </row>
    <row r="161">
      <c r="A161" s="2" t="s">
        <v>460</v>
      </c>
      <c r="B161" s="1" t="s">
        <v>461</v>
      </c>
      <c r="C161" s="1" t="s">
        <v>462</v>
      </c>
      <c r="D161" s="2" t="str">
        <f>IFERROR(__xludf.DUMMYFUNCTION("""COMPUTED_VALUE"""),"H-L")</f>
        <v>H-L</v>
      </c>
      <c r="E161" s="2" t="s">
        <v>10</v>
      </c>
    </row>
    <row r="162">
      <c r="A162" s="2" t="s">
        <v>463</v>
      </c>
      <c r="B162" s="1" t="s">
        <v>464</v>
      </c>
      <c r="C162" s="1" t="s">
        <v>465</v>
      </c>
      <c r="D162" s="2" t="str">
        <f>IFERROR(__xludf.DUMMYFUNCTION("""COMPUTED_VALUE"""),"H-L-H-L-L")</f>
        <v>H-L-H-L-L</v>
      </c>
      <c r="E162" s="2" t="s">
        <v>10</v>
      </c>
    </row>
    <row r="163">
      <c r="A163" s="2" t="s">
        <v>466</v>
      </c>
      <c r="B163" s="1" t="s">
        <v>467</v>
      </c>
      <c r="C163" s="1" t="s">
        <v>468</v>
      </c>
      <c r="D163" s="2" t="str">
        <f>IFERROR(__xludf.DUMMYFUNCTION("""COMPUTED_VALUE"""),"H-H")</f>
        <v>H-H</v>
      </c>
      <c r="E163" s="2" t="s">
        <v>10</v>
      </c>
    </row>
    <row r="164">
      <c r="A164" s="2" t="s">
        <v>469</v>
      </c>
      <c r="B164" s="1" t="s">
        <v>470</v>
      </c>
      <c r="C164" s="1" t="s">
        <v>445</v>
      </c>
      <c r="D164" s="2" t="str">
        <f>IFERROR(__xludf.DUMMYFUNCTION("""COMPUTED_VALUE"""),"H-M")</f>
        <v>H-M</v>
      </c>
      <c r="E164" s="2" t="s">
        <v>10</v>
      </c>
    </row>
    <row r="165">
      <c r="A165" s="2" t="s">
        <v>471</v>
      </c>
      <c r="B165" s="1" t="s">
        <v>472</v>
      </c>
      <c r="C165" s="1" t="s">
        <v>473</v>
      </c>
      <c r="D165" s="2" t="str">
        <f>IFERROR(__xludf.DUMMYFUNCTION("""COMPUTED_VALUE"""),"L-L")</f>
        <v>L-L</v>
      </c>
      <c r="E165" s="2" t="s">
        <v>10</v>
      </c>
    </row>
    <row r="166">
      <c r="A166" s="2" t="s">
        <v>474</v>
      </c>
      <c r="B166" s="1" t="s">
        <v>475</v>
      </c>
      <c r="C166" s="1" t="s">
        <v>476</v>
      </c>
      <c r="D166" s="2" t="str">
        <f>IFERROR(__xludf.DUMMYFUNCTION("""COMPUTED_VALUE"""),"L-L-H-H")</f>
        <v>L-L-H-H</v>
      </c>
      <c r="E166" s="2" t="s">
        <v>10</v>
      </c>
    </row>
    <row r="167">
      <c r="A167" s="2" t="s">
        <v>477</v>
      </c>
      <c r="B167" s="1" t="s">
        <v>478</v>
      </c>
      <c r="C167" s="1" t="s">
        <v>479</v>
      </c>
      <c r="D167" s="2" t="str">
        <f>IFERROR(__xludf.DUMMYFUNCTION("""COMPUTED_VALUE"""),"H-H")</f>
        <v>H-H</v>
      </c>
      <c r="E167" s="2" t="s">
        <v>10</v>
      </c>
    </row>
    <row r="168">
      <c r="A168" s="2" t="s">
        <v>480</v>
      </c>
      <c r="B168" s="1" t="s">
        <v>481</v>
      </c>
      <c r="C168" s="1" t="s">
        <v>482</v>
      </c>
      <c r="D168" s="2" t="str">
        <f>IFERROR(__xludf.DUMMYFUNCTION("""COMPUTED_VALUE"""),"L-H-L")</f>
        <v>L-H-L</v>
      </c>
      <c r="E168" s="2" t="s">
        <v>10</v>
      </c>
    </row>
    <row r="169">
      <c r="A169" s="2" t="s">
        <v>483</v>
      </c>
      <c r="B169" s="1" t="s">
        <v>484</v>
      </c>
      <c r="C169" s="1" t="s">
        <v>485</v>
      </c>
      <c r="D169" s="2" t="str">
        <f>IFERROR(__xludf.DUMMYFUNCTION("""COMPUTED_VALUE"""),"H-H")</f>
        <v>H-H</v>
      </c>
      <c r="E169" s="2" t="s">
        <v>10</v>
      </c>
    </row>
    <row r="170">
      <c r="A170" s="2" t="s">
        <v>486</v>
      </c>
      <c r="B170" s="1" t="s">
        <v>487</v>
      </c>
      <c r="C170" s="1" t="s">
        <v>488</v>
      </c>
      <c r="D170" s="2" t="str">
        <f>IFERROR(__xludf.DUMMYFUNCTION("""COMPUTED_VALUE"""),"H-L")</f>
        <v>H-L</v>
      </c>
      <c r="E170" s="2" t="s">
        <v>10</v>
      </c>
    </row>
    <row r="171">
      <c r="A171" s="2" t="s">
        <v>489</v>
      </c>
      <c r="B171" s="1" t="s">
        <v>490</v>
      </c>
      <c r="C171" s="1" t="s">
        <v>491</v>
      </c>
      <c r="D171" s="2" t="str">
        <f>IFERROR(__xludf.DUMMYFUNCTION("""COMPUTED_VALUE"""),"H-M")</f>
        <v>H-M</v>
      </c>
      <c r="E171" s="2" t="s">
        <v>10</v>
      </c>
    </row>
    <row r="172">
      <c r="A172" s="2" t="s">
        <v>492</v>
      </c>
      <c r="B172" s="1" t="s">
        <v>493</v>
      </c>
      <c r="C172" s="1" t="s">
        <v>494</v>
      </c>
      <c r="D172" s="2" t="str">
        <f>IFERROR(__xludf.DUMMYFUNCTION("""COMPUTED_VALUE"""),"H-H")</f>
        <v>H-H</v>
      </c>
      <c r="E172" s="2" t="s">
        <v>10</v>
      </c>
    </row>
    <row r="173">
      <c r="A173" s="2" t="s">
        <v>495</v>
      </c>
      <c r="B173" s="1" t="s">
        <v>496</v>
      </c>
      <c r="C173" s="1" t="s">
        <v>497</v>
      </c>
      <c r="D173" s="2" t="str">
        <f>IFERROR(__xludf.DUMMYFUNCTION("""COMPUTED_VALUE"""),"H-L")</f>
        <v>H-L</v>
      </c>
      <c r="E173" s="2" t="s">
        <v>10</v>
      </c>
    </row>
    <row r="174">
      <c r="A174" s="2" t="s">
        <v>498</v>
      </c>
      <c r="B174" s="1" t="s">
        <v>499</v>
      </c>
      <c r="C174" s="1" t="s">
        <v>500</v>
      </c>
      <c r="D174" s="2" t="str">
        <f>IFERROR(__xludf.DUMMYFUNCTION("""COMPUTED_VALUE"""),"L-H")</f>
        <v>L-H</v>
      </c>
      <c r="E174" s="2" t="s">
        <v>10</v>
      </c>
    </row>
    <row r="175">
      <c r="A175" s="2" t="s">
        <v>501</v>
      </c>
      <c r="B175" s="1" t="s">
        <v>502</v>
      </c>
      <c r="C175" s="1" t="s">
        <v>503</v>
      </c>
      <c r="D175" s="2" t="str">
        <f>IFERROR(__xludf.DUMMYFUNCTION("""COMPUTED_VALUE"""),"H-H-H-M")</f>
        <v>H-H-H-M</v>
      </c>
      <c r="E175" s="2" t="s">
        <v>10</v>
      </c>
    </row>
    <row r="176">
      <c r="A176" s="2" t="s">
        <v>504</v>
      </c>
      <c r="B176" s="1" t="s">
        <v>505</v>
      </c>
      <c r="C176" s="1" t="s">
        <v>494</v>
      </c>
      <c r="D176" s="2" t="str">
        <f>IFERROR(__xludf.DUMMYFUNCTION("""COMPUTED_VALUE"""),"H-H-M")</f>
        <v>H-H-M</v>
      </c>
      <c r="E176" s="2" t="s">
        <v>10</v>
      </c>
    </row>
    <row r="177">
      <c r="A177" s="2" t="s">
        <v>506</v>
      </c>
      <c r="B177" s="1" t="s">
        <v>507</v>
      </c>
      <c r="C177" s="1" t="s">
        <v>508</v>
      </c>
      <c r="D177" s="2" t="str">
        <f>IFERROR(__xludf.DUMMYFUNCTION("""COMPUTED_VALUE"""),"L")</f>
        <v>L</v>
      </c>
      <c r="E177" s="2" t="s">
        <v>10</v>
      </c>
    </row>
    <row r="178">
      <c r="A178" s="2" t="s">
        <v>509</v>
      </c>
      <c r="B178" s="1" t="s">
        <v>510</v>
      </c>
      <c r="C178" s="1" t="s">
        <v>511</v>
      </c>
      <c r="D178" s="2" t="str">
        <f>IFERROR(__xludf.DUMMYFUNCTION("""COMPUTED_VALUE"""),"H-H-H")</f>
        <v>H-H-H</v>
      </c>
      <c r="E178" s="2" t="s">
        <v>10</v>
      </c>
    </row>
    <row r="179">
      <c r="A179" s="2" t="s">
        <v>512</v>
      </c>
      <c r="B179" s="1" t="s">
        <v>513</v>
      </c>
      <c r="C179" s="1" t="s">
        <v>514</v>
      </c>
      <c r="D179" s="2" t="str">
        <f>IFERROR(__xludf.DUMMYFUNCTION("""COMPUTED_VALUE"""),"H-H-H-L")</f>
        <v>H-H-H-L</v>
      </c>
      <c r="E179" s="2" t="s">
        <v>10</v>
      </c>
    </row>
    <row r="180">
      <c r="A180" s="2" t="s">
        <v>515</v>
      </c>
      <c r="B180" s="1" t="s">
        <v>516</v>
      </c>
      <c r="C180" s="1" t="s">
        <v>517</v>
      </c>
      <c r="D180" s="2" t="str">
        <f>IFERROR(__xludf.DUMMYFUNCTION("""COMPUTED_VALUE"""),"H-H")</f>
        <v>H-H</v>
      </c>
      <c r="E180" s="2" t="s">
        <v>10</v>
      </c>
    </row>
    <row r="181">
      <c r="A181" s="2" t="s">
        <v>518</v>
      </c>
      <c r="B181" s="1" t="s">
        <v>519</v>
      </c>
      <c r="C181" s="1" t="s">
        <v>520</v>
      </c>
      <c r="D181" s="2" t="str">
        <f>IFERROR(__xludf.DUMMYFUNCTION("""COMPUTED_VALUE"""),"H-H")</f>
        <v>H-H</v>
      </c>
      <c r="E181" s="2" t="s">
        <v>10</v>
      </c>
    </row>
    <row r="182">
      <c r="A182" s="2" t="s">
        <v>521</v>
      </c>
      <c r="B182" s="1" t="s">
        <v>522</v>
      </c>
      <c r="C182" s="1" t="s">
        <v>523</v>
      </c>
      <c r="D182" s="2" t="str">
        <f>IFERROR(__xludf.DUMMYFUNCTION("""COMPUTED_VALUE"""),"H-L-L-L")</f>
        <v>H-L-L-L</v>
      </c>
      <c r="E182" s="2" t="s">
        <v>10</v>
      </c>
    </row>
    <row r="183">
      <c r="A183" s="2" t="s">
        <v>524</v>
      </c>
      <c r="B183" s="1" t="s">
        <v>525</v>
      </c>
      <c r="C183" s="1" t="s">
        <v>526</v>
      </c>
      <c r="D183" s="2" t="str">
        <f>IFERROR(__xludf.DUMMYFUNCTION("""COMPUTED_VALUE"""),"H-H")</f>
        <v>H-H</v>
      </c>
      <c r="E183" s="2" t="s">
        <v>10</v>
      </c>
    </row>
    <row r="184">
      <c r="A184" s="2" t="s">
        <v>527</v>
      </c>
      <c r="B184" s="1" t="s">
        <v>528</v>
      </c>
      <c r="C184" s="1" t="s">
        <v>529</v>
      </c>
      <c r="D184" s="2" t="str">
        <f>IFERROR(__xludf.DUMMYFUNCTION("""COMPUTED_VALUE"""),"H-H-L-H")</f>
        <v>H-H-L-H</v>
      </c>
      <c r="E184" s="2" t="s">
        <v>10</v>
      </c>
    </row>
    <row r="185">
      <c r="A185" s="2" t="s">
        <v>530</v>
      </c>
      <c r="B185" s="1" t="s">
        <v>531</v>
      </c>
      <c r="C185" s="1" t="s">
        <v>526</v>
      </c>
      <c r="D185" s="2" t="str">
        <f>IFERROR(__xludf.DUMMYFUNCTION("""COMPUTED_VALUE"""),"H-H-H-L")</f>
        <v>H-H-H-L</v>
      </c>
      <c r="E185" s="2" t="s">
        <v>10</v>
      </c>
    </row>
    <row r="186">
      <c r="A186" s="2" t="s">
        <v>532</v>
      </c>
      <c r="B186" s="1" t="s">
        <v>533</v>
      </c>
      <c r="C186" s="1" t="s">
        <v>534</v>
      </c>
      <c r="D186" s="2" t="str">
        <f>IFERROR(__xludf.DUMMYFUNCTION("""COMPUTED_VALUE"""),"H-L-L")</f>
        <v>H-L-L</v>
      </c>
      <c r="E186" s="2" t="s">
        <v>10</v>
      </c>
    </row>
    <row r="187">
      <c r="A187" s="2" t="s">
        <v>535</v>
      </c>
      <c r="B187" s="1" t="s">
        <v>536</v>
      </c>
      <c r="C187" s="1" t="s">
        <v>537</v>
      </c>
      <c r="D187" s="2" t="str">
        <f>IFERROR(__xludf.DUMMYFUNCTION("""COMPUTED_VALUE"""),"H-L")</f>
        <v>H-L</v>
      </c>
      <c r="E187" s="2" t="s">
        <v>10</v>
      </c>
    </row>
    <row r="188">
      <c r="A188" s="2" t="s">
        <v>538</v>
      </c>
      <c r="B188" s="1" t="s">
        <v>539</v>
      </c>
      <c r="C188" s="1" t="s">
        <v>540</v>
      </c>
      <c r="D188" s="2" t="str">
        <f>IFERROR(__xludf.DUMMYFUNCTION("""COMPUTED_VALUE"""),"H-L")</f>
        <v>H-L</v>
      </c>
      <c r="E188" s="2" t="s">
        <v>10</v>
      </c>
    </row>
    <row r="189">
      <c r="A189" s="2" t="s">
        <v>541</v>
      </c>
      <c r="B189" s="1" t="s">
        <v>542</v>
      </c>
      <c r="C189" s="1" t="s">
        <v>543</v>
      </c>
      <c r="D189" s="2" t="str">
        <f>IFERROR(__xludf.DUMMYFUNCTION("""COMPUTED_VALUE"""),"L-H-L")</f>
        <v>L-H-L</v>
      </c>
      <c r="E189" s="2" t="s">
        <v>10</v>
      </c>
    </row>
    <row r="190">
      <c r="A190" s="2" t="s">
        <v>544</v>
      </c>
      <c r="B190" s="1" t="s">
        <v>545</v>
      </c>
      <c r="C190" s="1" t="s">
        <v>546</v>
      </c>
      <c r="D190" s="2" t="str">
        <f>IFERROR(__xludf.DUMMYFUNCTION("""COMPUTED_VALUE"""),"H")</f>
        <v>H</v>
      </c>
      <c r="E190" s="2" t="s">
        <v>10</v>
      </c>
    </row>
    <row r="191">
      <c r="A191" s="2" t="s">
        <v>547</v>
      </c>
      <c r="B191" s="1" t="s">
        <v>548</v>
      </c>
      <c r="C191" s="1" t="s">
        <v>549</v>
      </c>
      <c r="D191" s="2" t="str">
        <f>IFERROR(__xludf.DUMMYFUNCTION("""COMPUTED_VALUE"""),"H-H")</f>
        <v>H-H</v>
      </c>
      <c r="E191" s="2" t="s">
        <v>10</v>
      </c>
    </row>
    <row r="192">
      <c r="A192" s="2" t="s">
        <v>550</v>
      </c>
      <c r="B192" s="1" t="s">
        <v>551</v>
      </c>
      <c r="C192" s="1" t="s">
        <v>546</v>
      </c>
      <c r="D192" s="2" t="str">
        <f>IFERROR(__xludf.DUMMYFUNCTION("""COMPUTED_VALUE"""),"H-H")</f>
        <v>H-H</v>
      </c>
      <c r="E192" s="2" t="s">
        <v>10</v>
      </c>
    </row>
    <row r="193">
      <c r="A193" s="2" t="s">
        <v>552</v>
      </c>
      <c r="B193" s="1" t="s">
        <v>553</v>
      </c>
      <c r="C193" s="1" t="s">
        <v>554</v>
      </c>
      <c r="D193" s="2" t="str">
        <f>IFERROR(__xludf.DUMMYFUNCTION("""COMPUTED_VALUE"""),"H")</f>
        <v>H</v>
      </c>
      <c r="E193" s="2" t="s">
        <v>10</v>
      </c>
    </row>
    <row r="194">
      <c r="A194" s="2" t="s">
        <v>555</v>
      </c>
      <c r="B194" s="1" t="s">
        <v>556</v>
      </c>
      <c r="C194" s="1" t="s">
        <v>557</v>
      </c>
      <c r="D194" s="2" t="str">
        <f>IFERROR(__xludf.DUMMYFUNCTION("""COMPUTED_VALUE"""),"H-H-L-H-H")</f>
        <v>H-H-L-H-H</v>
      </c>
      <c r="E194" s="2" t="s">
        <v>10</v>
      </c>
    </row>
    <row r="195">
      <c r="A195" s="2" t="s">
        <v>558</v>
      </c>
      <c r="B195" s="1" t="s">
        <v>559</v>
      </c>
      <c r="C195" s="1" t="s">
        <v>560</v>
      </c>
      <c r="D195" s="2" t="str">
        <f>IFERROR(__xludf.DUMMYFUNCTION("""COMPUTED_VALUE"""),"H-H-H")</f>
        <v>H-H-H</v>
      </c>
      <c r="E195" s="2" t="s">
        <v>10</v>
      </c>
    </row>
    <row r="196">
      <c r="A196" s="2" t="s">
        <v>561</v>
      </c>
      <c r="B196" s="1" t="s">
        <v>562</v>
      </c>
      <c r="C196" s="1" t="s">
        <v>563</v>
      </c>
      <c r="D196" s="2" t="str">
        <f>IFERROR(__xludf.DUMMYFUNCTION("""COMPUTED_VALUE"""),"H-H-H")</f>
        <v>H-H-H</v>
      </c>
      <c r="E196" s="2" t="s">
        <v>10</v>
      </c>
    </row>
    <row r="197">
      <c r="A197" s="2" t="s">
        <v>564</v>
      </c>
      <c r="B197" s="1" t="s">
        <v>565</v>
      </c>
      <c r="C197" s="1" t="s">
        <v>566</v>
      </c>
      <c r="D197" s="2" t="str">
        <f>IFERROR(__xludf.DUMMYFUNCTION("""COMPUTED_VALUE"""),"L-H")</f>
        <v>L-H</v>
      </c>
      <c r="E197" s="2" t="s">
        <v>10</v>
      </c>
    </row>
    <row r="198">
      <c r="A198" s="2" t="s">
        <v>567</v>
      </c>
      <c r="B198" s="1" t="s">
        <v>568</v>
      </c>
      <c r="C198" s="1" t="s">
        <v>569</v>
      </c>
      <c r="D198" s="2" t="str">
        <f>IFERROR(__xludf.DUMMYFUNCTION("""COMPUTED_VALUE"""),"H-L-L-L")</f>
        <v>H-L-L-L</v>
      </c>
      <c r="E198" s="2" t="s">
        <v>10</v>
      </c>
    </row>
    <row r="199">
      <c r="A199" s="2" t="s">
        <v>570</v>
      </c>
      <c r="B199" s="1" t="s">
        <v>571</v>
      </c>
      <c r="C199" s="1" t="s">
        <v>572</v>
      </c>
      <c r="D199" s="2" t="str">
        <f>IFERROR(__xludf.DUMMYFUNCTION("""COMPUTED_VALUE"""),"H-H-H")</f>
        <v>H-H-H</v>
      </c>
      <c r="E199" s="2" t="s">
        <v>10</v>
      </c>
    </row>
    <row r="200">
      <c r="A200" s="2" t="s">
        <v>573</v>
      </c>
      <c r="B200" s="1" t="s">
        <v>574</v>
      </c>
      <c r="C200" s="1" t="s">
        <v>575</v>
      </c>
      <c r="D200" s="2" t="str">
        <f>IFERROR(__xludf.DUMMYFUNCTION("""COMPUTED_VALUE"""),"L-L-H")</f>
        <v>L-L-H</v>
      </c>
      <c r="E200" s="2" t="s">
        <v>10</v>
      </c>
    </row>
    <row r="201">
      <c r="A201" s="2" t="s">
        <v>576</v>
      </c>
      <c r="B201" s="1" t="s">
        <v>577</v>
      </c>
      <c r="C201" s="1" t="s">
        <v>578</v>
      </c>
      <c r="D201" s="2" t="str">
        <f>IFERROR(__xludf.DUMMYFUNCTION("""COMPUTED_VALUE"""),"H-L")</f>
        <v>H-L</v>
      </c>
      <c r="E201" s="2" t="s">
        <v>10</v>
      </c>
    </row>
    <row r="202">
      <c r="A202" s="2" t="s">
        <v>579</v>
      </c>
      <c r="B202" s="1" t="s">
        <v>580</v>
      </c>
      <c r="C202" s="1" t="s">
        <v>581</v>
      </c>
      <c r="D202" s="2" t="str">
        <f>IFERROR(__xludf.DUMMYFUNCTION("""COMPUTED_VALUE"""),"L-L")</f>
        <v>L-L</v>
      </c>
      <c r="E202" s="2" t="s">
        <v>10</v>
      </c>
    </row>
    <row r="203">
      <c r="A203" s="2" t="s">
        <v>582</v>
      </c>
      <c r="B203" s="1" t="s">
        <v>583</v>
      </c>
      <c r="C203" s="1" t="s">
        <v>584</v>
      </c>
      <c r="D203" s="2" t="str">
        <f>IFERROR(__xludf.DUMMYFUNCTION("""COMPUTED_VALUE"""),"H-L")</f>
        <v>H-L</v>
      </c>
      <c r="E203" s="2" t="s">
        <v>10</v>
      </c>
    </row>
    <row r="204">
      <c r="A204" s="2" t="s">
        <v>585</v>
      </c>
      <c r="B204" s="1" t="s">
        <v>586</v>
      </c>
      <c r="C204" s="1" t="s">
        <v>584</v>
      </c>
      <c r="D204" s="2" t="str">
        <f>IFERROR(__xludf.DUMMYFUNCTION("""COMPUTED_VALUE"""),"H-L")</f>
        <v>H-L</v>
      </c>
      <c r="E204" s="2" t="s">
        <v>10</v>
      </c>
    </row>
    <row r="205">
      <c r="A205" s="2" t="s">
        <v>587</v>
      </c>
      <c r="B205" s="1" t="s">
        <v>588</v>
      </c>
      <c r="C205" s="1" t="s">
        <v>589</v>
      </c>
      <c r="D205" s="2" t="str">
        <f>IFERROR(__xludf.DUMMYFUNCTION("""COMPUTED_VALUE"""),"H-H")</f>
        <v>H-H</v>
      </c>
      <c r="E205" s="2" t="s">
        <v>10</v>
      </c>
    </row>
    <row r="206">
      <c r="A206" s="2" t="s">
        <v>590</v>
      </c>
      <c r="B206" s="1" t="s">
        <v>591</v>
      </c>
      <c r="C206" s="1" t="s">
        <v>592</v>
      </c>
      <c r="D206" s="2" t="str">
        <f>IFERROR(__xludf.DUMMYFUNCTION("""COMPUTED_VALUE"""),"H-H")</f>
        <v>H-H</v>
      </c>
      <c r="E206" s="2" t="s">
        <v>10</v>
      </c>
    </row>
    <row r="207">
      <c r="A207" s="2" t="s">
        <v>593</v>
      </c>
      <c r="B207" s="1" t="s">
        <v>594</v>
      </c>
      <c r="C207" s="1" t="s">
        <v>595</v>
      </c>
      <c r="D207" s="2" t="str">
        <f>IFERROR(__xludf.DUMMYFUNCTION("""COMPUTED_VALUE"""),"H-L")</f>
        <v>H-L</v>
      </c>
      <c r="E207" s="2" t="s">
        <v>10</v>
      </c>
    </row>
    <row r="208">
      <c r="A208" s="2" t="s">
        <v>596</v>
      </c>
      <c r="B208" s="1" t="s">
        <v>597</v>
      </c>
      <c r="C208" s="1" t="s">
        <v>598</v>
      </c>
      <c r="D208" s="2" t="str">
        <f>IFERROR(__xludf.DUMMYFUNCTION("""COMPUTED_VALUE"""),"L-H-H")</f>
        <v>L-H-H</v>
      </c>
      <c r="E208" s="2" t="s">
        <v>10</v>
      </c>
    </row>
    <row r="209">
      <c r="A209" s="2" t="s">
        <v>599</v>
      </c>
      <c r="B209" s="1" t="s">
        <v>600</v>
      </c>
      <c r="C209" s="1" t="s">
        <v>601</v>
      </c>
      <c r="D209" s="2" t="str">
        <f>IFERROR(__xludf.DUMMYFUNCTION("""COMPUTED_VALUE"""),"H-L")</f>
        <v>H-L</v>
      </c>
      <c r="E209" s="2" t="s">
        <v>10</v>
      </c>
    </row>
    <row r="210">
      <c r="A210" s="2" t="s">
        <v>602</v>
      </c>
      <c r="B210" s="1" t="s">
        <v>603</v>
      </c>
      <c r="C210" s="1" t="s">
        <v>604</v>
      </c>
      <c r="D210" s="2" t="str">
        <f>IFERROR(__xludf.DUMMYFUNCTION("""COMPUTED_VALUE"""),"H-H")</f>
        <v>H-H</v>
      </c>
      <c r="E210" s="2" t="s">
        <v>10</v>
      </c>
    </row>
    <row r="211">
      <c r="A211" s="2" t="s">
        <v>605</v>
      </c>
      <c r="B211" s="1" t="s">
        <v>606</v>
      </c>
      <c r="C211" s="1" t="s">
        <v>607</v>
      </c>
      <c r="D211" s="2" t="str">
        <f>IFERROR(__xludf.DUMMYFUNCTION("""COMPUTED_VALUE"""),"H-H-H-M")</f>
        <v>H-H-H-M</v>
      </c>
      <c r="E211" s="2" t="s">
        <v>10</v>
      </c>
    </row>
    <row r="212">
      <c r="A212" s="2" t="s">
        <v>608</v>
      </c>
      <c r="B212" s="1" t="s">
        <v>609</v>
      </c>
      <c r="C212" s="1" t="s">
        <v>610</v>
      </c>
      <c r="D212" s="2" t="str">
        <f>IFERROR(__xludf.DUMMYFUNCTION("""COMPUTED_VALUE"""),"H")</f>
        <v>H</v>
      </c>
      <c r="E212" s="2" t="s">
        <v>10</v>
      </c>
    </row>
    <row r="213">
      <c r="A213" s="2" t="s">
        <v>611</v>
      </c>
      <c r="B213" s="1" t="s">
        <v>612</v>
      </c>
      <c r="C213" s="1" t="s">
        <v>613</v>
      </c>
      <c r="D213" s="2" t="str">
        <f>IFERROR(__xludf.DUMMYFUNCTION("""COMPUTED_VALUE"""),"H")</f>
        <v>H</v>
      </c>
      <c r="E213" s="2" t="s">
        <v>10</v>
      </c>
    </row>
    <row r="214">
      <c r="A214" s="2" t="s">
        <v>614</v>
      </c>
      <c r="B214" s="1" t="s">
        <v>615</v>
      </c>
      <c r="C214" s="1" t="s">
        <v>616</v>
      </c>
      <c r="D214" s="2" t="str">
        <f>IFERROR(__xludf.DUMMYFUNCTION("""COMPUTED_VALUE"""),"L")</f>
        <v>L</v>
      </c>
      <c r="E214" s="2" t="s">
        <v>10</v>
      </c>
    </row>
    <row r="215">
      <c r="A215" s="2" t="s">
        <v>617</v>
      </c>
      <c r="B215" s="1" t="s">
        <v>618</v>
      </c>
      <c r="C215" s="1" t="s">
        <v>619</v>
      </c>
      <c r="D215" s="2" t="str">
        <f>IFERROR(__xludf.DUMMYFUNCTION("""COMPUTED_VALUE"""),"H-H-M")</f>
        <v>H-H-M</v>
      </c>
      <c r="E215" s="2" t="s">
        <v>10</v>
      </c>
    </row>
    <row r="216">
      <c r="A216" s="2" t="s">
        <v>620</v>
      </c>
      <c r="B216" s="1" t="s">
        <v>621</v>
      </c>
      <c r="C216" s="1" t="s">
        <v>622</v>
      </c>
      <c r="D216" s="2" t="str">
        <f>IFERROR(__xludf.DUMMYFUNCTION("""COMPUTED_VALUE"""),"L-L")</f>
        <v>L-L</v>
      </c>
      <c r="E216" s="2" t="s">
        <v>10</v>
      </c>
    </row>
    <row r="217">
      <c r="A217" s="2" t="s">
        <v>623</v>
      </c>
      <c r="B217" s="1" t="s">
        <v>624</v>
      </c>
      <c r="C217" s="1" t="s">
        <v>625</v>
      </c>
      <c r="D217" s="2" t="str">
        <f>IFERROR(__xludf.DUMMYFUNCTION("""COMPUTED_VALUE"""),"H-H")</f>
        <v>H-H</v>
      </c>
      <c r="E217" s="2" t="s">
        <v>10</v>
      </c>
    </row>
    <row r="218">
      <c r="A218" s="2" t="s">
        <v>626</v>
      </c>
      <c r="B218" s="1" t="s">
        <v>627</v>
      </c>
      <c r="C218" s="1" t="s">
        <v>628</v>
      </c>
      <c r="D218" s="2" t="str">
        <f>IFERROR(__xludf.DUMMYFUNCTION("""COMPUTED_VALUE"""),"H")</f>
        <v>H</v>
      </c>
      <c r="E218" s="2" t="s">
        <v>10</v>
      </c>
    </row>
    <row r="219">
      <c r="A219" s="2" t="s">
        <v>629</v>
      </c>
      <c r="B219" s="1" t="s">
        <v>630</v>
      </c>
      <c r="C219" s="1" t="s">
        <v>631</v>
      </c>
      <c r="D219" s="2" t="str">
        <f>IFERROR(__xludf.DUMMYFUNCTION("""COMPUTED_VALUE"""),"H")</f>
        <v>H</v>
      </c>
      <c r="E219" s="2" t="s">
        <v>10</v>
      </c>
    </row>
    <row r="220">
      <c r="A220" s="2" t="s">
        <v>632</v>
      </c>
      <c r="B220" s="1" t="s">
        <v>633</v>
      </c>
      <c r="C220" s="1" t="s">
        <v>634</v>
      </c>
      <c r="D220" s="2" t="str">
        <f>IFERROR(__xludf.DUMMYFUNCTION("""COMPUTED_VALUE"""),"H-H-H")</f>
        <v>H-H-H</v>
      </c>
      <c r="E220" s="2" t="s">
        <v>10</v>
      </c>
    </row>
    <row r="221">
      <c r="A221" s="2" t="s">
        <v>635</v>
      </c>
      <c r="B221" s="1" t="s">
        <v>636</v>
      </c>
      <c r="C221" s="1" t="s">
        <v>637</v>
      </c>
      <c r="D221" s="2" t="str">
        <f>IFERROR(__xludf.DUMMYFUNCTION("""COMPUTED_VALUE"""),"H")</f>
        <v>H</v>
      </c>
      <c r="E221" s="2" t="s">
        <v>10</v>
      </c>
    </row>
    <row r="222">
      <c r="A222" s="2" t="s">
        <v>638</v>
      </c>
      <c r="B222" s="1" t="s">
        <v>639</v>
      </c>
      <c r="C222" s="1" t="s">
        <v>640</v>
      </c>
      <c r="D222" s="2" t="str">
        <f>IFERROR(__xludf.DUMMYFUNCTION("""COMPUTED_VALUE"""),"H")</f>
        <v>H</v>
      </c>
      <c r="E222" s="2" t="s">
        <v>10</v>
      </c>
    </row>
    <row r="223">
      <c r="A223" s="2" t="s">
        <v>641</v>
      </c>
      <c r="B223" s="1" t="s">
        <v>642</v>
      </c>
      <c r="C223" s="1" t="s">
        <v>643</v>
      </c>
      <c r="D223" s="2" t="str">
        <f>IFERROR(__xludf.DUMMYFUNCTION("""COMPUTED_VALUE"""),"H-L")</f>
        <v>H-L</v>
      </c>
      <c r="E223" s="2" t="s">
        <v>10</v>
      </c>
    </row>
    <row r="224">
      <c r="A224" s="2" t="s">
        <v>644</v>
      </c>
      <c r="B224" s="1" t="s">
        <v>645</v>
      </c>
      <c r="C224" s="1" t="s">
        <v>526</v>
      </c>
      <c r="D224" s="2" t="str">
        <f>IFERROR(__xludf.DUMMYFUNCTION("""COMPUTED_VALUE"""),"H")</f>
        <v>H</v>
      </c>
      <c r="E224" s="2" t="s">
        <v>10</v>
      </c>
    </row>
    <row r="225">
      <c r="A225" s="2" t="s">
        <v>646</v>
      </c>
      <c r="B225" s="1" t="s">
        <v>647</v>
      </c>
      <c r="C225" s="1" t="s">
        <v>648</v>
      </c>
      <c r="D225" s="2" t="str">
        <f>IFERROR(__xludf.DUMMYFUNCTION("""COMPUTED_VALUE"""),"H-L")</f>
        <v>H-L</v>
      </c>
      <c r="E225" s="2" t="s">
        <v>10</v>
      </c>
    </row>
    <row r="226">
      <c r="A226" s="2" t="s">
        <v>649</v>
      </c>
      <c r="B226" s="1" t="s">
        <v>650</v>
      </c>
      <c r="C226" s="1" t="s">
        <v>651</v>
      </c>
      <c r="D226" s="2" t="str">
        <f>IFERROR(__xludf.DUMMYFUNCTION("""COMPUTED_VALUE"""),"H-H")</f>
        <v>H-H</v>
      </c>
      <c r="E226" s="2" t="s">
        <v>10</v>
      </c>
    </row>
    <row r="227">
      <c r="A227" s="2" t="s">
        <v>652</v>
      </c>
      <c r="B227" s="1" t="s">
        <v>259</v>
      </c>
      <c r="C227" s="1" t="s">
        <v>653</v>
      </c>
      <c r="D227" s="2" t="str">
        <f>IFERROR(__xludf.DUMMYFUNCTION("""COMPUTED_VALUE"""),"H-L")</f>
        <v>H-L</v>
      </c>
      <c r="E227" s="2" t="s">
        <v>10</v>
      </c>
    </row>
    <row r="228">
      <c r="A228" s="2" t="s">
        <v>654</v>
      </c>
      <c r="B228" s="1" t="s">
        <v>655</v>
      </c>
      <c r="C228" s="1" t="s">
        <v>656</v>
      </c>
      <c r="D228" s="2" t="str">
        <f>IFERROR(__xludf.DUMMYFUNCTION("""COMPUTED_VALUE"""),"H-L")</f>
        <v>H-L</v>
      </c>
      <c r="E228" s="2" t="s">
        <v>10</v>
      </c>
    </row>
    <row r="229">
      <c r="A229" s="2" t="s">
        <v>657</v>
      </c>
      <c r="B229" s="1" t="s">
        <v>658</v>
      </c>
      <c r="C229" s="1" t="s">
        <v>659</v>
      </c>
      <c r="D229" s="2" t="str">
        <f>IFERROR(__xludf.DUMMYFUNCTION("""COMPUTED_VALUE"""),"H-L")</f>
        <v>H-L</v>
      </c>
      <c r="E229" s="2" t="s">
        <v>10</v>
      </c>
    </row>
    <row r="230">
      <c r="A230" s="2" t="s">
        <v>660</v>
      </c>
      <c r="B230" s="1" t="s">
        <v>661</v>
      </c>
      <c r="C230" s="1" t="s">
        <v>662</v>
      </c>
      <c r="D230" s="2" t="str">
        <f>IFERROR(__xludf.DUMMYFUNCTION("""COMPUTED_VALUE"""),"H-L-L")</f>
        <v>H-L-L</v>
      </c>
      <c r="E230" s="2" t="s">
        <v>10</v>
      </c>
    </row>
    <row r="231">
      <c r="A231" s="2" t="s">
        <v>663</v>
      </c>
      <c r="B231" s="1" t="s">
        <v>664</v>
      </c>
      <c r="C231" s="1" t="s">
        <v>665</v>
      </c>
      <c r="D231" s="2" t="str">
        <f>IFERROR(__xludf.DUMMYFUNCTION("""COMPUTED_VALUE"""),"H-H")</f>
        <v>H-H</v>
      </c>
      <c r="E231" s="2" t="s">
        <v>10</v>
      </c>
    </row>
    <row r="232">
      <c r="A232" s="2" t="s">
        <v>666</v>
      </c>
      <c r="B232" s="1" t="s">
        <v>667</v>
      </c>
      <c r="C232" s="1" t="s">
        <v>668</v>
      </c>
      <c r="D232" s="2" t="str">
        <f>IFERROR(__xludf.DUMMYFUNCTION("""COMPUTED_VALUE"""),"L-L")</f>
        <v>L-L</v>
      </c>
      <c r="E232" s="2" t="s">
        <v>10</v>
      </c>
    </row>
    <row r="233">
      <c r="A233" s="2" t="s">
        <v>669</v>
      </c>
      <c r="B233" s="1" t="s">
        <v>670</v>
      </c>
      <c r="C233" s="1" t="s">
        <v>671</v>
      </c>
      <c r="D233" s="2" t="str">
        <f>IFERROR(__xludf.DUMMYFUNCTION("""COMPUTED_VALUE"""),"H-H-M")</f>
        <v>H-H-M</v>
      </c>
      <c r="E233" s="2" t="s">
        <v>10</v>
      </c>
    </row>
    <row r="234">
      <c r="A234" s="2" t="s">
        <v>672</v>
      </c>
      <c r="B234" s="1" t="s">
        <v>673</v>
      </c>
      <c r="C234" s="1" t="s">
        <v>674</v>
      </c>
      <c r="D234" s="2" t="str">
        <f>IFERROR(__xludf.DUMMYFUNCTION("""COMPUTED_VALUE"""),"L-H-M")</f>
        <v>L-H-M</v>
      </c>
      <c r="E234" s="2" t="s">
        <v>10</v>
      </c>
    </row>
    <row r="235">
      <c r="A235" s="2" t="s">
        <v>675</v>
      </c>
      <c r="B235" s="1" t="s">
        <v>676</v>
      </c>
      <c r="C235" s="1" t="s">
        <v>677</v>
      </c>
      <c r="D235" s="2" t="str">
        <f>IFERROR(__xludf.DUMMYFUNCTION("""COMPUTED_VALUE"""),"H-H-H-H")</f>
        <v>H-H-H-H</v>
      </c>
      <c r="E235" s="2" t="s">
        <v>10</v>
      </c>
    </row>
    <row r="236">
      <c r="A236" s="2" t="s">
        <v>678</v>
      </c>
      <c r="B236" s="1" t="s">
        <v>679</v>
      </c>
      <c r="C236" s="1" t="s">
        <v>680</v>
      </c>
      <c r="D236" s="2" t="str">
        <f>IFERROR(__xludf.DUMMYFUNCTION("""COMPUTED_VALUE"""),"L-L-L-L")</f>
        <v>L-L-L-L</v>
      </c>
      <c r="E236" s="2" t="s">
        <v>10</v>
      </c>
    </row>
    <row r="237">
      <c r="A237" s="2" t="s">
        <v>681</v>
      </c>
      <c r="B237" s="1" t="s">
        <v>682</v>
      </c>
      <c r="C237" s="1" t="s">
        <v>683</v>
      </c>
      <c r="D237" s="2" t="str">
        <f>IFERROR(__xludf.DUMMYFUNCTION("""COMPUTED_VALUE"""),"L-H")</f>
        <v>L-H</v>
      </c>
      <c r="E237" s="2" t="s">
        <v>10</v>
      </c>
    </row>
    <row r="238">
      <c r="A238" s="2" t="s">
        <v>684</v>
      </c>
      <c r="B238" s="1" t="s">
        <v>685</v>
      </c>
      <c r="C238" s="1" t="s">
        <v>686</v>
      </c>
      <c r="D238" s="2" t="str">
        <f>IFERROR(__xludf.DUMMYFUNCTION("""COMPUTED_VALUE"""),"L-L")</f>
        <v>L-L</v>
      </c>
      <c r="E238" s="2" t="s">
        <v>10</v>
      </c>
    </row>
    <row r="239">
      <c r="A239" s="2" t="s">
        <v>687</v>
      </c>
      <c r="B239" s="1" t="s">
        <v>688</v>
      </c>
      <c r="C239" s="1" t="s">
        <v>689</v>
      </c>
      <c r="D239" s="2" t="str">
        <f>IFERROR(__xludf.DUMMYFUNCTION("""COMPUTED_VALUE"""),"L-H")</f>
        <v>L-H</v>
      </c>
      <c r="E239" s="2" t="s">
        <v>10</v>
      </c>
    </row>
    <row r="240">
      <c r="A240" s="2" t="s">
        <v>690</v>
      </c>
      <c r="B240" s="1" t="s">
        <v>691</v>
      </c>
      <c r="C240" s="1" t="s">
        <v>692</v>
      </c>
      <c r="D240" s="2" t="str">
        <f>IFERROR(__xludf.DUMMYFUNCTION("""COMPUTED_VALUE"""),"H-L")</f>
        <v>H-L</v>
      </c>
      <c r="E240" s="2" t="s">
        <v>10</v>
      </c>
    </row>
    <row r="241">
      <c r="A241" s="2" t="s">
        <v>693</v>
      </c>
      <c r="B241" s="1" t="s">
        <v>694</v>
      </c>
      <c r="C241" s="1" t="s">
        <v>695</v>
      </c>
      <c r="D241" s="2" t="str">
        <f>IFERROR(__xludf.DUMMYFUNCTION("""COMPUTED_VALUE"""),"H-M")</f>
        <v>H-M</v>
      </c>
      <c r="E241" s="2" t="s">
        <v>10</v>
      </c>
    </row>
    <row r="242">
      <c r="A242" s="2" t="s">
        <v>696</v>
      </c>
      <c r="B242" s="1" t="s">
        <v>697</v>
      </c>
      <c r="C242" s="1" t="s">
        <v>698</v>
      </c>
      <c r="D242" s="2" t="str">
        <f>IFERROR(__xludf.DUMMYFUNCTION("""COMPUTED_VALUE"""),"L-L")</f>
        <v>L-L</v>
      </c>
      <c r="E242" s="2" t="s">
        <v>10</v>
      </c>
    </row>
    <row r="243">
      <c r="A243" s="2" t="s">
        <v>699</v>
      </c>
      <c r="B243" s="1" t="s">
        <v>700</v>
      </c>
      <c r="C243" s="1" t="s">
        <v>665</v>
      </c>
      <c r="D243" s="2" t="str">
        <f>IFERROR(__xludf.DUMMYFUNCTION("""COMPUTED_VALUE"""),"H-H")</f>
        <v>H-H</v>
      </c>
      <c r="E243" s="2" t="s">
        <v>10</v>
      </c>
    </row>
    <row r="244">
      <c r="A244" s="2" t="s">
        <v>701</v>
      </c>
      <c r="B244" s="1" t="s">
        <v>702</v>
      </c>
      <c r="C244" s="1" t="s">
        <v>668</v>
      </c>
      <c r="D244" s="2" t="str">
        <f>IFERROR(__xludf.DUMMYFUNCTION("""COMPUTED_VALUE"""),"L-L")</f>
        <v>L-L</v>
      </c>
      <c r="E244" s="2" t="s">
        <v>10</v>
      </c>
    </row>
    <row r="245">
      <c r="A245" s="2" t="s">
        <v>703</v>
      </c>
      <c r="B245" s="1" t="s">
        <v>704</v>
      </c>
      <c r="C245" s="1" t="s">
        <v>671</v>
      </c>
      <c r="D245" s="2" t="str">
        <f>IFERROR(__xludf.DUMMYFUNCTION("""COMPUTED_VALUE"""),"H-H-M")</f>
        <v>H-H-M</v>
      </c>
      <c r="E245" s="2" t="s">
        <v>10</v>
      </c>
    </row>
    <row r="246">
      <c r="A246" s="2" t="s">
        <v>705</v>
      </c>
      <c r="B246" s="1" t="s">
        <v>706</v>
      </c>
      <c r="C246" s="1" t="s">
        <v>707</v>
      </c>
      <c r="D246" s="2" t="str">
        <f>IFERROR(__xludf.DUMMYFUNCTION("""COMPUTED_VALUE"""),"H-H")</f>
        <v>H-H</v>
      </c>
      <c r="E246" s="2" t="s">
        <v>10</v>
      </c>
    </row>
    <row r="247">
      <c r="A247" s="2" t="s">
        <v>708</v>
      </c>
      <c r="B247" s="1" t="s">
        <v>536</v>
      </c>
      <c r="C247" s="1" t="s">
        <v>537</v>
      </c>
      <c r="D247" s="2" t="str">
        <f>IFERROR(__xludf.DUMMYFUNCTION("""COMPUTED_VALUE"""),"H-L")</f>
        <v>H-L</v>
      </c>
      <c r="E247" s="2" t="s">
        <v>10</v>
      </c>
    </row>
    <row r="248">
      <c r="A248" s="2" t="s">
        <v>709</v>
      </c>
      <c r="B248" s="1" t="s">
        <v>710</v>
      </c>
      <c r="C248" s="1" t="s">
        <v>711</v>
      </c>
      <c r="D248" s="2" t="str">
        <f>IFERROR(__xludf.DUMMYFUNCTION("""COMPUTED_VALUE"""),"H-H")</f>
        <v>H-H</v>
      </c>
      <c r="E248" s="2" t="s">
        <v>10</v>
      </c>
    </row>
    <row r="249">
      <c r="A249" s="2" t="s">
        <v>712</v>
      </c>
      <c r="B249" s="1" t="s">
        <v>713</v>
      </c>
      <c r="C249" s="1" t="s">
        <v>714</v>
      </c>
      <c r="D249" s="2" t="str">
        <f>IFERROR(__xludf.DUMMYFUNCTION("""COMPUTED_VALUE"""),"H-L")</f>
        <v>H-L</v>
      </c>
      <c r="E249" s="2" t="s">
        <v>10</v>
      </c>
    </row>
    <row r="250">
      <c r="A250" s="2" t="s">
        <v>715</v>
      </c>
      <c r="B250" s="1" t="s">
        <v>713</v>
      </c>
      <c r="C250" s="1" t="s">
        <v>716</v>
      </c>
      <c r="D250" s="2" t="str">
        <f>IFERROR(__xludf.DUMMYFUNCTION("""COMPUTED_VALUE"""),"H-L")</f>
        <v>H-L</v>
      </c>
      <c r="E250" s="2" t="s">
        <v>10</v>
      </c>
    </row>
    <row r="251">
      <c r="A251" s="2" t="s">
        <v>717</v>
      </c>
      <c r="B251" s="1" t="s">
        <v>718</v>
      </c>
      <c r="C251" s="1" t="s">
        <v>719</v>
      </c>
      <c r="D251" s="2" t="str">
        <f>IFERROR(__xludf.DUMMYFUNCTION("""COMPUTED_VALUE"""),"L-H-H")</f>
        <v>L-H-H</v>
      </c>
      <c r="E251" s="2" t="s">
        <v>10</v>
      </c>
    </row>
    <row r="252">
      <c r="A252" s="2" t="s">
        <v>720</v>
      </c>
      <c r="B252" s="1" t="s">
        <v>721</v>
      </c>
      <c r="C252" s="1" t="s">
        <v>722</v>
      </c>
      <c r="D252" s="2" t="str">
        <f>IFERROR(__xludf.DUMMYFUNCTION("""COMPUTED_VALUE"""),"L-H")</f>
        <v>L-H</v>
      </c>
      <c r="E252" s="2" t="s">
        <v>10</v>
      </c>
    </row>
    <row r="253">
      <c r="A253" s="2" t="s">
        <v>723</v>
      </c>
      <c r="B253" s="1" t="s">
        <v>724</v>
      </c>
      <c r="C253" s="1" t="s">
        <v>725</v>
      </c>
      <c r="D253" s="2" t="str">
        <f>IFERROR(__xludf.DUMMYFUNCTION("""COMPUTED_VALUE"""),"H-H")</f>
        <v>H-H</v>
      </c>
      <c r="E253" s="2" t="s">
        <v>10</v>
      </c>
    </row>
    <row r="254">
      <c r="A254" s="2" t="s">
        <v>726</v>
      </c>
      <c r="B254" s="1" t="s">
        <v>727</v>
      </c>
      <c r="C254" s="1" t="s">
        <v>728</v>
      </c>
      <c r="D254" s="2" t="str">
        <f>IFERROR(__xludf.DUMMYFUNCTION("""COMPUTED_VALUE"""),"H-L-L")</f>
        <v>H-L-L</v>
      </c>
      <c r="E254" s="2" t="s">
        <v>10</v>
      </c>
    </row>
    <row r="255">
      <c r="A255" s="2" t="s">
        <v>729</v>
      </c>
      <c r="B255" s="1" t="s">
        <v>730</v>
      </c>
      <c r="C255" s="1" t="s">
        <v>731</v>
      </c>
      <c r="D255" s="2" t="str">
        <f>IFERROR(__xludf.DUMMYFUNCTION("""COMPUTED_VALUE"""),"L-L-H-M")</f>
        <v>L-L-H-M</v>
      </c>
      <c r="E255" s="2" t="s">
        <v>10</v>
      </c>
    </row>
    <row r="256">
      <c r="A256" s="2" t="s">
        <v>732</v>
      </c>
      <c r="B256" s="1" t="s">
        <v>733</v>
      </c>
      <c r="C256" s="1" t="s">
        <v>734</v>
      </c>
      <c r="D256" s="2" t="str">
        <f>IFERROR(__xludf.DUMMYFUNCTION("""COMPUTED_VALUE"""),"H-H")</f>
        <v>H-H</v>
      </c>
      <c r="E256" s="2" t="s">
        <v>10</v>
      </c>
    </row>
    <row r="257">
      <c r="A257" s="2" t="s">
        <v>735</v>
      </c>
      <c r="B257" s="1" t="s">
        <v>736</v>
      </c>
      <c r="C257" s="1" t="s">
        <v>737</v>
      </c>
      <c r="D257" s="2" t="str">
        <f>IFERROR(__xludf.DUMMYFUNCTION("""COMPUTED_VALUE"""),"L-H")</f>
        <v>L-H</v>
      </c>
      <c r="E257" s="2" t="s">
        <v>10</v>
      </c>
    </row>
    <row r="258">
      <c r="A258" s="2" t="s">
        <v>738</v>
      </c>
      <c r="B258" s="1" t="s">
        <v>739</v>
      </c>
      <c r="C258" s="1" t="s">
        <v>740</v>
      </c>
      <c r="D258" s="2" t="str">
        <f>IFERROR(__xludf.DUMMYFUNCTION("""COMPUTED_VALUE"""),"H-H")</f>
        <v>H-H</v>
      </c>
      <c r="E258" s="2" t="s">
        <v>10</v>
      </c>
    </row>
    <row r="259">
      <c r="A259" s="2" t="s">
        <v>741</v>
      </c>
      <c r="B259" s="1" t="s">
        <v>742</v>
      </c>
      <c r="C259" s="1" t="s">
        <v>743</v>
      </c>
      <c r="D259" s="2" t="str">
        <f>IFERROR(__xludf.DUMMYFUNCTION("""COMPUTED_VALUE"""),"L-H")</f>
        <v>L-H</v>
      </c>
      <c r="E259" s="2" t="s">
        <v>10</v>
      </c>
    </row>
    <row r="260">
      <c r="A260" s="2" t="s">
        <v>744</v>
      </c>
      <c r="B260" s="1" t="s">
        <v>745</v>
      </c>
      <c r="C260" s="1" t="s">
        <v>746</v>
      </c>
      <c r="D260" s="2" t="str">
        <f>IFERROR(__xludf.DUMMYFUNCTION("""COMPUTED_VALUE"""),"H-H")</f>
        <v>H-H</v>
      </c>
      <c r="E260" s="2" t="s">
        <v>10</v>
      </c>
    </row>
    <row r="261">
      <c r="A261" s="2" t="s">
        <v>747</v>
      </c>
      <c r="B261" s="1" t="s">
        <v>748</v>
      </c>
      <c r="C261" s="1" t="s">
        <v>749</v>
      </c>
      <c r="D261" s="2" t="str">
        <f>IFERROR(__xludf.DUMMYFUNCTION("""COMPUTED_VALUE"""),"H-M")</f>
        <v>H-M</v>
      </c>
      <c r="E261" s="2" t="s">
        <v>10</v>
      </c>
    </row>
    <row r="262">
      <c r="A262" s="2" t="s">
        <v>750</v>
      </c>
      <c r="B262" s="1" t="s">
        <v>751</v>
      </c>
      <c r="C262" s="1" t="s">
        <v>752</v>
      </c>
      <c r="D262" s="2" t="str">
        <f>IFERROR(__xludf.DUMMYFUNCTION("""COMPUTED_VALUE"""),"H-H")</f>
        <v>H-H</v>
      </c>
      <c r="E262" s="2" t="s">
        <v>10</v>
      </c>
    </row>
    <row r="263">
      <c r="A263" s="2" t="s">
        <v>753</v>
      </c>
      <c r="B263" s="1" t="s">
        <v>754</v>
      </c>
      <c r="C263" s="1" t="s">
        <v>746</v>
      </c>
      <c r="D263" s="2" t="str">
        <f>IFERROR(__xludf.DUMMYFUNCTION("""COMPUTED_VALUE"""),"H-H")</f>
        <v>H-H</v>
      </c>
      <c r="E263" s="2" t="s">
        <v>10</v>
      </c>
    </row>
    <row r="264">
      <c r="A264" s="2" t="s">
        <v>755</v>
      </c>
      <c r="B264" s="1" t="s">
        <v>754</v>
      </c>
      <c r="C264" s="1" t="s">
        <v>756</v>
      </c>
      <c r="D264" s="2" t="str">
        <f>IFERROR(__xludf.DUMMYFUNCTION("""COMPUTED_VALUE"""),"H-H")</f>
        <v>H-H</v>
      </c>
      <c r="E264" s="2" t="s">
        <v>10</v>
      </c>
    </row>
    <row r="265">
      <c r="A265" s="2" t="s">
        <v>757</v>
      </c>
      <c r="B265" s="1" t="s">
        <v>758</v>
      </c>
      <c r="C265" s="1" t="s">
        <v>734</v>
      </c>
      <c r="D265" s="2" t="str">
        <f>IFERROR(__xludf.DUMMYFUNCTION("""COMPUTED_VALUE"""),"H-H")</f>
        <v>H-H</v>
      </c>
      <c r="E265" s="2" t="s">
        <v>10</v>
      </c>
    </row>
    <row r="266">
      <c r="A266" s="2" t="s">
        <v>759</v>
      </c>
      <c r="B266" s="1" t="s">
        <v>760</v>
      </c>
      <c r="C266" s="1" t="s">
        <v>737</v>
      </c>
      <c r="D266" s="2" t="str">
        <f>IFERROR(__xludf.DUMMYFUNCTION("""COMPUTED_VALUE"""),"L-H")</f>
        <v>L-H</v>
      </c>
      <c r="E266" s="2" t="s">
        <v>10</v>
      </c>
    </row>
    <row r="267">
      <c r="A267" s="2" t="s">
        <v>761</v>
      </c>
      <c r="B267" s="1" t="s">
        <v>762</v>
      </c>
      <c r="C267" s="1" t="s">
        <v>740</v>
      </c>
      <c r="D267" s="2" t="str">
        <f>IFERROR(__xludf.DUMMYFUNCTION("""COMPUTED_VALUE"""),"H-H")</f>
        <v>H-H</v>
      </c>
      <c r="E267" s="2" t="s">
        <v>10</v>
      </c>
    </row>
    <row r="268">
      <c r="A268" s="2" t="s">
        <v>763</v>
      </c>
      <c r="B268" s="1" t="s">
        <v>764</v>
      </c>
      <c r="C268" s="1" t="s">
        <v>765</v>
      </c>
      <c r="D268" s="2" t="str">
        <f>IFERROR(__xludf.DUMMYFUNCTION("""COMPUTED_VALUE"""),"H-L")</f>
        <v>H-L</v>
      </c>
      <c r="E268" s="2" t="s">
        <v>10</v>
      </c>
    </row>
    <row r="269">
      <c r="A269" s="2" t="s">
        <v>766</v>
      </c>
      <c r="B269" s="1" t="s">
        <v>767</v>
      </c>
      <c r="C269" s="1" t="s">
        <v>707</v>
      </c>
      <c r="D269" s="2" t="str">
        <f>IFERROR(__xludf.DUMMYFUNCTION("""COMPUTED_VALUE"""),"H-H")</f>
        <v>H-H</v>
      </c>
      <c r="E269" s="2" t="s">
        <v>10</v>
      </c>
    </row>
    <row r="270">
      <c r="A270" s="2" t="s">
        <v>768</v>
      </c>
      <c r="B270" s="1" t="s">
        <v>769</v>
      </c>
      <c r="C270" s="1" t="s">
        <v>770</v>
      </c>
      <c r="D270" s="2" t="str">
        <f>IFERROR(__xludf.DUMMYFUNCTION("""COMPUTED_VALUE"""),"L-H")</f>
        <v>L-H</v>
      </c>
      <c r="E270" s="2" t="s">
        <v>10</v>
      </c>
    </row>
    <row r="271">
      <c r="A271" s="2" t="s">
        <v>771</v>
      </c>
      <c r="B271" s="1" t="s">
        <v>772</v>
      </c>
      <c r="C271" s="1" t="s">
        <v>773</v>
      </c>
      <c r="D271" s="2" t="str">
        <f>IFERROR(__xludf.DUMMYFUNCTION("""COMPUTED_VALUE"""),"H-H")</f>
        <v>H-H</v>
      </c>
      <c r="E271" s="2" t="s">
        <v>10</v>
      </c>
    </row>
    <row r="272">
      <c r="A272" s="2" t="s">
        <v>774</v>
      </c>
      <c r="B272" s="1" t="s">
        <v>772</v>
      </c>
      <c r="C272" s="1" t="s">
        <v>775</v>
      </c>
      <c r="D272" s="2" t="str">
        <f>IFERROR(__xludf.DUMMYFUNCTION("""COMPUTED_VALUE"""),"H-H")</f>
        <v>H-H</v>
      </c>
      <c r="E272" s="2" t="s">
        <v>10</v>
      </c>
    </row>
    <row r="273">
      <c r="A273" s="2" t="s">
        <v>776</v>
      </c>
      <c r="B273" s="1" t="s">
        <v>777</v>
      </c>
      <c r="C273" s="1" t="s">
        <v>778</v>
      </c>
      <c r="D273" s="2" t="str">
        <f>IFERROR(__xludf.DUMMYFUNCTION("""COMPUTED_VALUE"""),"H-L")</f>
        <v>H-L</v>
      </c>
      <c r="E273" s="2" t="s">
        <v>10</v>
      </c>
    </row>
    <row r="274">
      <c r="A274" s="2" t="s">
        <v>779</v>
      </c>
      <c r="B274" s="1" t="s">
        <v>780</v>
      </c>
      <c r="C274" s="1" t="s">
        <v>781</v>
      </c>
      <c r="D274" s="2" t="str">
        <f>IFERROR(__xludf.DUMMYFUNCTION("""COMPUTED_VALUE"""),"L-L")</f>
        <v>L-L</v>
      </c>
      <c r="E274" s="2" t="s">
        <v>10</v>
      </c>
    </row>
    <row r="275">
      <c r="A275" s="2" t="s">
        <v>782</v>
      </c>
      <c r="B275" s="1" t="s">
        <v>783</v>
      </c>
      <c r="C275" s="1" t="s">
        <v>784</v>
      </c>
      <c r="D275" s="2" t="str">
        <f>IFERROR(__xludf.DUMMYFUNCTION("""COMPUTED_VALUE"""),"H-H-H-M")</f>
        <v>H-H-H-M</v>
      </c>
      <c r="E275" s="2" t="s">
        <v>10</v>
      </c>
    </row>
    <row r="276">
      <c r="A276" s="2" t="s">
        <v>785</v>
      </c>
      <c r="B276" s="1" t="s">
        <v>786</v>
      </c>
      <c r="C276" s="1" t="s">
        <v>787</v>
      </c>
      <c r="D276" s="2" t="str">
        <f>IFERROR(__xludf.DUMMYFUNCTION("""COMPUTED_VALUE"""),"L-H-L")</f>
        <v>L-H-L</v>
      </c>
      <c r="E276" s="2" t="s">
        <v>10</v>
      </c>
    </row>
    <row r="277">
      <c r="A277" s="2" t="s">
        <v>788</v>
      </c>
      <c r="B277" s="1" t="s">
        <v>789</v>
      </c>
      <c r="C277" s="1" t="s">
        <v>790</v>
      </c>
      <c r="D277" s="2" t="str">
        <f>IFERROR(__xludf.DUMMYFUNCTION("""COMPUTED_VALUE"""),"L-L")</f>
        <v>L-L</v>
      </c>
      <c r="E277" s="2" t="s">
        <v>10</v>
      </c>
    </row>
    <row r="278">
      <c r="A278" s="2" t="s">
        <v>791</v>
      </c>
      <c r="B278" s="1" t="s">
        <v>792</v>
      </c>
      <c r="C278" s="1" t="s">
        <v>793</v>
      </c>
      <c r="D278" s="2" t="str">
        <f>IFERROR(__xludf.DUMMYFUNCTION("""COMPUTED_VALUE"""),"L-H-H-H")</f>
        <v>L-H-H-H</v>
      </c>
      <c r="E278" s="2" t="s">
        <v>10</v>
      </c>
    </row>
    <row r="279">
      <c r="A279" s="2" t="s">
        <v>794</v>
      </c>
      <c r="B279" s="1" t="s">
        <v>795</v>
      </c>
      <c r="C279" s="1" t="s">
        <v>796</v>
      </c>
      <c r="D279" s="2" t="str">
        <f>IFERROR(__xludf.DUMMYFUNCTION("""COMPUTED_VALUE"""),"H-H")</f>
        <v>H-H</v>
      </c>
      <c r="E279" s="2" t="s">
        <v>10</v>
      </c>
    </row>
    <row r="280">
      <c r="A280" s="2" t="s">
        <v>797</v>
      </c>
      <c r="B280" s="1" t="s">
        <v>798</v>
      </c>
      <c r="C280" s="1" t="s">
        <v>799</v>
      </c>
      <c r="D280" s="2" t="str">
        <f>IFERROR(__xludf.DUMMYFUNCTION("""COMPUTED_VALUE"""),"L-H")</f>
        <v>L-H</v>
      </c>
      <c r="E280" s="2" t="s">
        <v>10</v>
      </c>
    </row>
    <row r="281">
      <c r="A281" s="2" t="s">
        <v>800</v>
      </c>
      <c r="B281" s="1" t="s">
        <v>801</v>
      </c>
      <c r="C281" s="1" t="s">
        <v>802</v>
      </c>
      <c r="D281" s="2" t="str">
        <f>IFERROR(__xludf.DUMMYFUNCTION("""COMPUTED_VALUE"""),"L-L-L")</f>
        <v>L-L-L</v>
      </c>
      <c r="E281" s="2" t="s">
        <v>10</v>
      </c>
    </row>
    <row r="282">
      <c r="A282" s="2" t="s">
        <v>803</v>
      </c>
      <c r="B282" s="1" t="s">
        <v>804</v>
      </c>
      <c r="C282" s="1" t="s">
        <v>805</v>
      </c>
      <c r="D282" s="2" t="str">
        <f>IFERROR(__xludf.DUMMYFUNCTION("""COMPUTED_VALUE"""),"H-L")</f>
        <v>H-L</v>
      </c>
      <c r="E282" s="2" t="s">
        <v>10</v>
      </c>
    </row>
    <row r="283">
      <c r="A283" s="2" t="s">
        <v>806</v>
      </c>
      <c r="B283" s="1" t="s">
        <v>807</v>
      </c>
      <c r="C283" s="1" t="s">
        <v>808</v>
      </c>
      <c r="D283" s="2" t="str">
        <f>IFERROR(__xludf.DUMMYFUNCTION("""COMPUTED_VALUE"""),"H-L-L")</f>
        <v>H-L-L</v>
      </c>
      <c r="E283" s="2" t="s">
        <v>10</v>
      </c>
    </row>
    <row r="284">
      <c r="A284" s="2" t="s">
        <v>809</v>
      </c>
      <c r="B284" s="1" t="s">
        <v>810</v>
      </c>
      <c r="C284" s="1" t="s">
        <v>811</v>
      </c>
      <c r="D284" s="2" t="str">
        <f>IFERROR(__xludf.DUMMYFUNCTION("""COMPUTED_VALUE"""),"H-M-H-H")</f>
        <v>H-M-H-H</v>
      </c>
      <c r="E284" s="2" t="s">
        <v>10</v>
      </c>
    </row>
    <row r="285">
      <c r="A285" s="2" t="s">
        <v>812</v>
      </c>
      <c r="B285" s="1" t="s">
        <v>813</v>
      </c>
      <c r="C285" s="1" t="s">
        <v>814</v>
      </c>
      <c r="D285" s="2" t="str">
        <f>IFERROR(__xludf.DUMMYFUNCTION("""COMPUTED_VALUE"""),"H-M-M")</f>
        <v>H-M-M</v>
      </c>
      <c r="E285" s="2" t="s">
        <v>10</v>
      </c>
    </row>
    <row r="286">
      <c r="A286" s="2" t="s">
        <v>815</v>
      </c>
      <c r="B286" s="1" t="s">
        <v>816</v>
      </c>
      <c r="C286" s="1" t="s">
        <v>817</v>
      </c>
      <c r="D286" s="2" t="str">
        <f>IFERROR(__xludf.DUMMYFUNCTION("""COMPUTED_VALUE"""),"L-L-L")</f>
        <v>L-L-L</v>
      </c>
      <c r="E286" s="2" t="s">
        <v>10</v>
      </c>
    </row>
    <row r="287">
      <c r="A287" s="2" t="s">
        <v>818</v>
      </c>
      <c r="B287" s="1" t="s">
        <v>819</v>
      </c>
      <c r="C287" s="1" t="s">
        <v>820</v>
      </c>
      <c r="D287" s="2" t="str">
        <f>IFERROR(__xludf.DUMMYFUNCTION("""COMPUTED_VALUE"""),"L-L-L-H-H")</f>
        <v>L-L-L-H-H</v>
      </c>
      <c r="E287" s="2" t="s">
        <v>10</v>
      </c>
    </row>
    <row r="288">
      <c r="A288" s="2" t="s">
        <v>821</v>
      </c>
      <c r="B288" s="1" t="s">
        <v>822</v>
      </c>
      <c r="C288" s="1" t="s">
        <v>823</v>
      </c>
      <c r="D288" s="2" t="str">
        <f>IFERROR(__xludf.DUMMYFUNCTION("""COMPUTED_VALUE"""),"H")</f>
        <v>H</v>
      </c>
      <c r="E288" s="2" t="s">
        <v>10</v>
      </c>
    </row>
    <row r="289">
      <c r="A289" s="2" t="s">
        <v>824</v>
      </c>
      <c r="B289" s="1" t="s">
        <v>825</v>
      </c>
      <c r="C289" s="1" t="s">
        <v>826</v>
      </c>
      <c r="D289" s="2" t="str">
        <f>IFERROR(__xludf.DUMMYFUNCTION("""COMPUTED_VALUE"""),"H")</f>
        <v>H</v>
      </c>
      <c r="E289" s="2" t="s">
        <v>10</v>
      </c>
    </row>
    <row r="290">
      <c r="A290" s="2" t="s">
        <v>827</v>
      </c>
      <c r="B290" s="1" t="s">
        <v>828</v>
      </c>
      <c r="C290" s="1" t="s">
        <v>829</v>
      </c>
      <c r="D290" s="2" t="str">
        <f>IFERROR(__xludf.DUMMYFUNCTION("""COMPUTED_VALUE"""),"L-H-H")</f>
        <v>L-H-H</v>
      </c>
      <c r="E290" s="2" t="s">
        <v>10</v>
      </c>
    </row>
    <row r="291">
      <c r="A291" s="2" t="s">
        <v>830</v>
      </c>
      <c r="B291" s="1" t="s">
        <v>831</v>
      </c>
      <c r="C291" s="1" t="s">
        <v>832</v>
      </c>
      <c r="D291" s="2" t="str">
        <f>IFERROR(__xludf.DUMMYFUNCTION("""COMPUTED_VALUE"""),"L-H-M")</f>
        <v>L-H-M</v>
      </c>
      <c r="E291" s="2" t="s">
        <v>10</v>
      </c>
    </row>
    <row r="292">
      <c r="A292" s="2" t="s">
        <v>833</v>
      </c>
      <c r="B292" s="1" t="s">
        <v>834</v>
      </c>
      <c r="C292" s="1" t="s">
        <v>835</v>
      </c>
      <c r="D292" s="2" t="str">
        <f>IFERROR(__xludf.DUMMYFUNCTION("""COMPUTED_VALUE"""),"L-L")</f>
        <v>L-L</v>
      </c>
      <c r="E292" s="2" t="s">
        <v>10</v>
      </c>
    </row>
    <row r="293">
      <c r="A293" s="2" t="s">
        <v>836</v>
      </c>
      <c r="B293" s="1" t="s">
        <v>837</v>
      </c>
      <c r="C293" s="1" t="s">
        <v>838</v>
      </c>
      <c r="D293" s="2" t="str">
        <f>IFERROR(__xludf.DUMMYFUNCTION("""COMPUTED_VALUE"""),"H-H")</f>
        <v>H-H</v>
      </c>
      <c r="E293" s="2" t="s">
        <v>10</v>
      </c>
    </row>
    <row r="294">
      <c r="A294" s="2" t="s">
        <v>839</v>
      </c>
      <c r="B294" s="3" t="s">
        <v>840</v>
      </c>
      <c r="C294" s="3" t="s">
        <v>841</v>
      </c>
      <c r="D294" s="2" t="str">
        <f>IFERROR(__xludf.DUMMYFUNCTION("""COMPUTED_VALUE"""),"L")</f>
        <v>L</v>
      </c>
      <c r="E294" s="2" t="s">
        <v>10</v>
      </c>
    </row>
    <row r="295">
      <c r="A295" s="2" t="s">
        <v>842</v>
      </c>
      <c r="B295" s="3" t="s">
        <v>843</v>
      </c>
      <c r="C295" s="3" t="s">
        <v>844</v>
      </c>
      <c r="D295" s="2" t="str">
        <f>IFERROR(__xludf.DUMMYFUNCTION("""COMPUTED_VALUE"""),"H-L")</f>
        <v>H-L</v>
      </c>
      <c r="E295" s="2" t="s">
        <v>10</v>
      </c>
    </row>
    <row r="296">
      <c r="A296" s="2" t="s">
        <v>845</v>
      </c>
      <c r="B296" s="3" t="s">
        <v>846</v>
      </c>
      <c r="C296" s="3" t="s">
        <v>847</v>
      </c>
      <c r="D296" s="2" t="str">
        <f>IFERROR(__xludf.DUMMYFUNCTION("""COMPUTED_VALUE"""),"H-H-M")</f>
        <v>H-H-M</v>
      </c>
      <c r="E296" s="2" t="s">
        <v>10</v>
      </c>
    </row>
    <row r="297">
      <c r="A297" s="2" t="s">
        <v>848</v>
      </c>
      <c r="B297" s="3" t="s">
        <v>849</v>
      </c>
      <c r="C297" s="3" t="s">
        <v>850</v>
      </c>
      <c r="D297" s="2" t="str">
        <f>IFERROR(__xludf.DUMMYFUNCTION("""COMPUTED_VALUE"""),"H-L-H-L")</f>
        <v>H-L-H-L</v>
      </c>
      <c r="E297" s="2" t="s">
        <v>10</v>
      </c>
    </row>
    <row r="298">
      <c r="A298" s="2" t="s">
        <v>851</v>
      </c>
      <c r="B298" s="4" t="s">
        <v>852</v>
      </c>
      <c r="C298" s="3" t="s">
        <v>853</v>
      </c>
      <c r="D298" s="2" t="str">
        <f>IFERROR(__xludf.DUMMYFUNCTION("""COMPUTED_VALUE"""),"H-L")</f>
        <v>H-L</v>
      </c>
      <c r="E298" s="2" t="s">
        <v>10</v>
      </c>
    </row>
    <row r="299">
      <c r="A299" s="2" t="s">
        <v>854</v>
      </c>
      <c r="B299" s="4" t="s">
        <v>852</v>
      </c>
      <c r="C299" s="3" t="s">
        <v>855</v>
      </c>
      <c r="D299" s="2" t="str">
        <f>IFERROR(__xludf.DUMMYFUNCTION("""COMPUTED_VALUE"""),"H-L")</f>
        <v>H-L</v>
      </c>
      <c r="E299" s="2" t="s">
        <v>10</v>
      </c>
    </row>
    <row r="300">
      <c r="A300" s="2" t="s">
        <v>856</v>
      </c>
      <c r="B300" s="3" t="s">
        <v>857</v>
      </c>
      <c r="C300" s="3" t="s">
        <v>858</v>
      </c>
      <c r="D300" s="2" t="str">
        <f>IFERROR(__xludf.DUMMYFUNCTION("""COMPUTED_VALUE"""),"L-L")</f>
        <v>L-L</v>
      </c>
      <c r="E300" s="2" t="s">
        <v>10</v>
      </c>
    </row>
    <row r="301">
      <c r="A301" s="2" t="s">
        <v>859</v>
      </c>
      <c r="B301" s="3" t="s">
        <v>860</v>
      </c>
      <c r="C301" s="3" t="s">
        <v>861</v>
      </c>
      <c r="D301" s="2" t="str">
        <f>IFERROR(__xludf.DUMMYFUNCTION("""COMPUTED_VALUE"""),"H-L-L")</f>
        <v>H-L-L</v>
      </c>
      <c r="E301" s="2" t="s">
        <v>10</v>
      </c>
    </row>
    <row r="302">
      <c r="A302" s="2" t="s">
        <v>862</v>
      </c>
      <c r="B302" s="3" t="s">
        <v>863</v>
      </c>
      <c r="C302" s="3" t="s">
        <v>858</v>
      </c>
      <c r="D302" s="2" t="str">
        <f>IFERROR(__xludf.DUMMYFUNCTION("""COMPUTED_VALUE"""),"L-L")</f>
        <v>L-L</v>
      </c>
      <c r="E302" s="2" t="s">
        <v>10</v>
      </c>
    </row>
    <row r="303">
      <c r="A303" s="2" t="s">
        <v>864</v>
      </c>
      <c r="B303" s="3" t="s">
        <v>865</v>
      </c>
      <c r="C303" s="3" t="s">
        <v>628</v>
      </c>
      <c r="D303" s="2" t="str">
        <f>IFERROR(__xludf.DUMMYFUNCTION("""COMPUTED_VALUE"""),"H")</f>
        <v>H</v>
      </c>
      <c r="E303" s="2" t="s">
        <v>10</v>
      </c>
    </row>
    <row r="304">
      <c r="A304" s="2" t="s">
        <v>866</v>
      </c>
      <c r="B304" s="3" t="s">
        <v>867</v>
      </c>
      <c r="C304" s="3" t="s">
        <v>868</v>
      </c>
      <c r="D304" s="2" t="str">
        <f>IFERROR(__xludf.DUMMYFUNCTION("""COMPUTED_VALUE"""),"L")</f>
        <v>L</v>
      </c>
      <c r="E304" s="2" t="s">
        <v>10</v>
      </c>
    </row>
    <row r="305">
      <c r="A305" s="2" t="s">
        <v>869</v>
      </c>
      <c r="B305" s="3" t="s">
        <v>870</v>
      </c>
      <c r="C305" s="3" t="s">
        <v>871</v>
      </c>
      <c r="D305" s="2" t="str">
        <f>IFERROR(__xludf.DUMMYFUNCTION("""COMPUTED_VALUE"""),"H-H")</f>
        <v>H-H</v>
      </c>
      <c r="E305" s="2" t="s">
        <v>10</v>
      </c>
    </row>
    <row r="306">
      <c r="A306" s="2" t="s">
        <v>872</v>
      </c>
      <c r="B306" s="3" t="s">
        <v>873</v>
      </c>
      <c r="C306" s="3" t="s">
        <v>874</v>
      </c>
      <c r="D306" s="2" t="str">
        <f>IFERROR(__xludf.DUMMYFUNCTION("""COMPUTED_VALUE"""),"H-L")</f>
        <v>H-L</v>
      </c>
      <c r="E306" s="2" t="s">
        <v>10</v>
      </c>
    </row>
    <row r="307">
      <c r="A307" s="2" t="s">
        <v>875</v>
      </c>
      <c r="B307" s="3" t="s">
        <v>876</v>
      </c>
      <c r="C307" s="3" t="s">
        <v>877</v>
      </c>
      <c r="D307" s="2" t="str">
        <f>IFERROR(__xludf.DUMMYFUNCTION("""COMPUTED_VALUE"""),"H-H")</f>
        <v>H-H</v>
      </c>
      <c r="E307" s="2" t="s">
        <v>10</v>
      </c>
    </row>
    <row r="308">
      <c r="A308" s="2" t="s">
        <v>878</v>
      </c>
      <c r="B308" s="3" t="s">
        <v>879</v>
      </c>
      <c r="C308" s="3" t="s">
        <v>880</v>
      </c>
      <c r="D308" s="2" t="str">
        <f>IFERROR(__xludf.DUMMYFUNCTION("""COMPUTED_VALUE"""),"H-H-L-H")</f>
        <v>H-H-L-H</v>
      </c>
      <c r="E308" s="2" t="s">
        <v>10</v>
      </c>
    </row>
    <row r="309">
      <c r="A309" s="2" t="s">
        <v>881</v>
      </c>
      <c r="B309" s="3" t="s">
        <v>882</v>
      </c>
      <c r="C309" s="3" t="s">
        <v>883</v>
      </c>
      <c r="D309" s="2" t="str">
        <f>IFERROR(__xludf.DUMMYFUNCTION("""COMPUTED_VALUE"""),"H-H-H")</f>
        <v>H-H-H</v>
      </c>
      <c r="E309" s="2" t="s">
        <v>10</v>
      </c>
    </row>
    <row r="310">
      <c r="A310" s="2" t="s">
        <v>884</v>
      </c>
      <c r="B310" s="3" t="s">
        <v>885</v>
      </c>
      <c r="C310" s="3" t="s">
        <v>886</v>
      </c>
      <c r="D310" s="2" t="str">
        <f>IFERROR(__xludf.DUMMYFUNCTION("""COMPUTED_VALUE"""),"H-L-L-H-H")</f>
        <v>H-L-L-H-H</v>
      </c>
      <c r="E310" s="2" t="s">
        <v>10</v>
      </c>
    </row>
    <row r="311">
      <c r="A311" s="2" t="s">
        <v>887</v>
      </c>
      <c r="B311" s="3" t="s">
        <v>888</v>
      </c>
      <c r="C311" s="3" t="s">
        <v>889</v>
      </c>
      <c r="D311" s="2" t="str">
        <f>IFERROR(__xludf.DUMMYFUNCTION("""COMPUTED_VALUE"""),"H-L-H-H")</f>
        <v>H-L-H-H</v>
      </c>
      <c r="E311" s="2" t="s">
        <v>10</v>
      </c>
    </row>
    <row r="312">
      <c r="A312" s="2" t="s">
        <v>890</v>
      </c>
      <c r="B312" s="3" t="s">
        <v>891</v>
      </c>
      <c r="C312" s="3" t="s">
        <v>889</v>
      </c>
      <c r="D312" s="2" t="str">
        <f>IFERROR(__xludf.DUMMYFUNCTION("""COMPUTED_VALUE"""),"H-L-H-H")</f>
        <v>H-L-H-H</v>
      </c>
      <c r="E312" s="2" t="s">
        <v>10</v>
      </c>
    </row>
    <row r="313">
      <c r="A313" s="2" t="s">
        <v>892</v>
      </c>
      <c r="B313" s="3" t="s">
        <v>893</v>
      </c>
      <c r="C313" s="3" t="s">
        <v>894</v>
      </c>
      <c r="D313" s="2" t="str">
        <f>IFERROR(__xludf.DUMMYFUNCTION("""COMPUTED_VALUE"""),"H")</f>
        <v>H</v>
      </c>
      <c r="E313" s="2" t="s">
        <v>10</v>
      </c>
    </row>
    <row r="314">
      <c r="A314" s="2" t="s">
        <v>895</v>
      </c>
      <c r="B314" s="3" t="s">
        <v>896</v>
      </c>
      <c r="C314" s="3" t="s">
        <v>897</v>
      </c>
      <c r="D314" s="2" t="str">
        <f>IFERROR(__xludf.DUMMYFUNCTION("""COMPUTED_VALUE"""),"H-H-L")</f>
        <v>H-H-L</v>
      </c>
      <c r="E314" s="2" t="s">
        <v>10</v>
      </c>
    </row>
    <row r="315">
      <c r="A315" s="2" t="s">
        <v>898</v>
      </c>
      <c r="B315" s="3" t="s">
        <v>899</v>
      </c>
      <c r="C315" s="3" t="s">
        <v>900</v>
      </c>
      <c r="D315" s="2" t="str">
        <f>IFERROR(__xludf.DUMMYFUNCTION("""COMPUTED_VALUE"""),"H-L-H-M")</f>
        <v>H-L-H-M</v>
      </c>
      <c r="E315" s="2" t="s">
        <v>10</v>
      </c>
    </row>
    <row r="316">
      <c r="A316" s="2" t="s">
        <v>901</v>
      </c>
      <c r="B316" s="3" t="s">
        <v>902</v>
      </c>
      <c r="C316" s="3" t="s">
        <v>508</v>
      </c>
      <c r="D316" s="2" t="str">
        <f>IFERROR(__xludf.DUMMYFUNCTION("""COMPUTED_VALUE"""),"H-H-H-L-L")</f>
        <v>H-H-H-L-L</v>
      </c>
      <c r="E316" s="2" t="s">
        <v>10</v>
      </c>
    </row>
    <row r="317">
      <c r="A317" s="2" t="s">
        <v>903</v>
      </c>
      <c r="B317" s="3" t="s">
        <v>904</v>
      </c>
      <c r="C317" s="3" t="s">
        <v>905</v>
      </c>
      <c r="D317" s="2" t="str">
        <f>IFERROR(__xludf.DUMMYFUNCTION("""COMPUTED_VALUE"""),"L-L-L")</f>
        <v>L-L-L</v>
      </c>
      <c r="E317" s="2" t="s">
        <v>10</v>
      </c>
    </row>
    <row r="318">
      <c r="A318" s="2" t="s">
        <v>906</v>
      </c>
      <c r="B318" s="3" t="s">
        <v>907</v>
      </c>
      <c r="C318" s="3" t="s">
        <v>908</v>
      </c>
      <c r="D318" s="2" t="str">
        <f>IFERROR(__xludf.DUMMYFUNCTION("""COMPUTED_VALUE"""),"H-H-H")</f>
        <v>H-H-H</v>
      </c>
      <c r="E318" s="2" t="s">
        <v>10</v>
      </c>
    </row>
    <row r="319">
      <c r="A319" s="2" t="s">
        <v>909</v>
      </c>
      <c r="B319" s="3" t="s">
        <v>910</v>
      </c>
      <c r="C319" s="3" t="s">
        <v>245</v>
      </c>
      <c r="D319" s="2" t="str">
        <f>IFERROR(__xludf.DUMMYFUNCTION("""COMPUTED_VALUE"""),"H-H-H")</f>
        <v>H-H-H</v>
      </c>
      <c r="E319" s="2" t="s">
        <v>10</v>
      </c>
    </row>
    <row r="320">
      <c r="A320" s="2" t="s">
        <v>911</v>
      </c>
      <c r="B320" s="3" t="s">
        <v>912</v>
      </c>
      <c r="C320" s="3" t="s">
        <v>913</v>
      </c>
      <c r="D320" s="2" t="str">
        <f>IFERROR(__xludf.DUMMYFUNCTION("""COMPUTED_VALUE"""),"L-H")</f>
        <v>L-H</v>
      </c>
      <c r="E320" s="2" t="s">
        <v>10</v>
      </c>
    </row>
    <row r="321">
      <c r="A321" s="2" t="s">
        <v>914</v>
      </c>
      <c r="B321" s="3" t="s">
        <v>915</v>
      </c>
      <c r="C321" s="3" t="s">
        <v>916</v>
      </c>
      <c r="D321" s="2" t="str">
        <f>IFERROR(__xludf.DUMMYFUNCTION("""COMPUTED_VALUE"""),"H-H")</f>
        <v>H-H</v>
      </c>
      <c r="E321" s="2" t="s">
        <v>10</v>
      </c>
    </row>
    <row r="322">
      <c r="A322" s="2" t="s">
        <v>917</v>
      </c>
      <c r="B322" s="3" t="s">
        <v>918</v>
      </c>
      <c r="C322" s="3" t="s">
        <v>919</v>
      </c>
      <c r="D322" s="2" t="str">
        <f>IFERROR(__xludf.DUMMYFUNCTION("""COMPUTED_VALUE"""),"H")</f>
        <v>H</v>
      </c>
      <c r="E322" s="2" t="s">
        <v>10</v>
      </c>
    </row>
    <row r="323">
      <c r="A323" s="2" t="s">
        <v>920</v>
      </c>
      <c r="B323" s="3" t="s">
        <v>921</v>
      </c>
      <c r="C323" s="3" t="s">
        <v>922</v>
      </c>
      <c r="D323" s="2" t="str">
        <f>IFERROR(__xludf.DUMMYFUNCTION("""COMPUTED_VALUE"""),"H-H-L")</f>
        <v>H-H-L</v>
      </c>
      <c r="E323" s="2" t="s">
        <v>10</v>
      </c>
    </row>
    <row r="324">
      <c r="A324" s="2" t="s">
        <v>923</v>
      </c>
      <c r="B324" s="3" t="s">
        <v>924</v>
      </c>
      <c r="C324" s="3" t="s">
        <v>560</v>
      </c>
      <c r="D324" s="2" t="str">
        <f>IFERROR(__xludf.DUMMYFUNCTION("""COMPUTED_VALUE"""),"H-L-H")</f>
        <v>H-L-H</v>
      </c>
      <c r="E324" s="2" t="s">
        <v>10</v>
      </c>
    </row>
    <row r="325">
      <c r="A325" s="2" t="s">
        <v>925</v>
      </c>
      <c r="B325" s="3" t="s">
        <v>926</v>
      </c>
      <c r="C325" s="3" t="s">
        <v>927</v>
      </c>
      <c r="D325" s="2" t="str">
        <f>IFERROR(__xludf.DUMMYFUNCTION("""COMPUTED_VALUE"""),"L-L-L")</f>
        <v>L-L-L</v>
      </c>
      <c r="E325" s="2" t="s">
        <v>10</v>
      </c>
    </row>
    <row r="326">
      <c r="A326" s="2" t="s">
        <v>928</v>
      </c>
      <c r="B326" s="3" t="s">
        <v>929</v>
      </c>
      <c r="C326" s="3" t="s">
        <v>927</v>
      </c>
      <c r="D326" s="2" t="str">
        <f>IFERROR(__xludf.DUMMYFUNCTION("""COMPUTED_VALUE"""),"L-L-L")</f>
        <v>L-L-L</v>
      </c>
      <c r="E326" s="2" t="s">
        <v>10</v>
      </c>
    </row>
    <row r="327">
      <c r="A327" s="2" t="s">
        <v>930</v>
      </c>
      <c r="B327" s="3" t="s">
        <v>931</v>
      </c>
      <c r="C327" s="3" t="s">
        <v>932</v>
      </c>
      <c r="D327" s="2" t="str">
        <f>IFERROR(__xludf.DUMMYFUNCTION("""COMPUTED_VALUE"""),"H")</f>
        <v>H</v>
      </c>
      <c r="E327" s="2" t="s">
        <v>10</v>
      </c>
    </row>
    <row r="328">
      <c r="A328" s="2" t="s">
        <v>933</v>
      </c>
      <c r="B328" s="3" t="s">
        <v>934</v>
      </c>
      <c r="C328" s="3" t="s">
        <v>935</v>
      </c>
      <c r="D328" s="2" t="str">
        <f>IFERROR(__xludf.DUMMYFUNCTION("""COMPUTED_VALUE"""),"L")</f>
        <v>L</v>
      </c>
      <c r="E328" s="2" t="s">
        <v>10</v>
      </c>
    </row>
    <row r="329">
      <c r="A329" s="2" t="s">
        <v>936</v>
      </c>
      <c r="B329" s="3" t="s">
        <v>937</v>
      </c>
      <c r="C329" s="3" t="s">
        <v>938</v>
      </c>
      <c r="D329" s="2" t="str">
        <f>IFERROR(__xludf.DUMMYFUNCTION("""COMPUTED_VALUE"""),"H-H")</f>
        <v>H-H</v>
      </c>
      <c r="E329" s="2" t="s">
        <v>10</v>
      </c>
    </row>
    <row r="330">
      <c r="A330" s="2" t="s">
        <v>939</v>
      </c>
      <c r="B330" s="3" t="s">
        <v>940</v>
      </c>
      <c r="C330" s="3" t="s">
        <v>941</v>
      </c>
      <c r="D330" s="2" t="str">
        <f>IFERROR(__xludf.DUMMYFUNCTION("""COMPUTED_VALUE"""),"H")</f>
        <v>H</v>
      </c>
      <c r="E330" s="2" t="s">
        <v>10</v>
      </c>
    </row>
    <row r="331">
      <c r="A331" s="2" t="s">
        <v>942</v>
      </c>
      <c r="B331" s="3" t="s">
        <v>943</v>
      </c>
      <c r="C331" s="3" t="s">
        <v>944</v>
      </c>
      <c r="D331" s="2" t="str">
        <f>IFERROR(__xludf.DUMMYFUNCTION("""COMPUTED_VALUE"""),"H-L-L")</f>
        <v>H-L-L</v>
      </c>
      <c r="E331" s="2" t="s">
        <v>10</v>
      </c>
    </row>
    <row r="332">
      <c r="A332" s="2" t="s">
        <v>945</v>
      </c>
      <c r="B332" s="3" t="s">
        <v>946</v>
      </c>
      <c r="C332" s="3" t="s">
        <v>947</v>
      </c>
      <c r="D332" s="2" t="str">
        <f>IFERROR(__xludf.DUMMYFUNCTION("""COMPUTED_VALUE"""),"H")</f>
        <v>H</v>
      </c>
      <c r="E332" s="2" t="s">
        <v>10</v>
      </c>
    </row>
    <row r="333">
      <c r="A333" s="2" t="s">
        <v>948</v>
      </c>
      <c r="B333" s="3" t="s">
        <v>949</v>
      </c>
      <c r="C333" s="3" t="s">
        <v>950</v>
      </c>
      <c r="D333" s="2" t="str">
        <f>IFERROR(__xludf.DUMMYFUNCTION("""COMPUTED_VALUE"""),"H-H-H")</f>
        <v>H-H-H</v>
      </c>
      <c r="E333" s="2" t="s">
        <v>10</v>
      </c>
    </row>
    <row r="334">
      <c r="A334" s="2" t="s">
        <v>951</v>
      </c>
      <c r="B334" s="3" t="s">
        <v>952</v>
      </c>
      <c r="C334" s="3" t="s">
        <v>953</v>
      </c>
      <c r="D334" s="2" t="str">
        <f>IFERROR(__xludf.DUMMYFUNCTION("""COMPUTED_VALUE"""),"H-H")</f>
        <v>H-H</v>
      </c>
      <c r="E334" s="2" t="s">
        <v>10</v>
      </c>
    </row>
    <row r="335">
      <c r="A335" s="2" t="s">
        <v>954</v>
      </c>
      <c r="B335" s="3" t="s">
        <v>955</v>
      </c>
      <c r="C335" s="3" t="s">
        <v>956</v>
      </c>
      <c r="D335" s="2" t="str">
        <f>IFERROR(__xludf.DUMMYFUNCTION("""COMPUTED_VALUE"""),"L-H-H")</f>
        <v>L-H-H</v>
      </c>
      <c r="E335" s="2" t="s">
        <v>10</v>
      </c>
    </row>
    <row r="336">
      <c r="A336" s="2" t="s">
        <v>957</v>
      </c>
      <c r="B336" s="3" t="s">
        <v>958</v>
      </c>
      <c r="C336" s="3" t="s">
        <v>959</v>
      </c>
      <c r="D336" s="2" t="str">
        <f>IFERROR(__xludf.DUMMYFUNCTION("""COMPUTED_VALUE"""),"H-H")</f>
        <v>H-H</v>
      </c>
      <c r="E336" s="2" t="s">
        <v>10</v>
      </c>
    </row>
    <row r="337">
      <c r="A337" s="2" t="s">
        <v>960</v>
      </c>
      <c r="B337" s="3" t="s">
        <v>961</v>
      </c>
      <c r="C337" s="3" t="s">
        <v>286</v>
      </c>
      <c r="D337" s="2" t="str">
        <f>IFERROR(__xludf.DUMMYFUNCTION("""COMPUTED_VALUE"""),"L-L")</f>
        <v>L-L</v>
      </c>
      <c r="E337" s="2" t="s">
        <v>10</v>
      </c>
    </row>
    <row r="338">
      <c r="A338" s="2" t="s">
        <v>962</v>
      </c>
      <c r="B338" s="3" t="s">
        <v>963</v>
      </c>
      <c r="C338" s="3" t="s">
        <v>964</v>
      </c>
      <c r="D338" s="2" t="str">
        <f>IFERROR(__xludf.DUMMYFUNCTION("""COMPUTED_VALUE"""),"H")</f>
        <v>H</v>
      </c>
      <c r="E338" s="2" t="s">
        <v>10</v>
      </c>
    </row>
    <row r="339">
      <c r="A339" s="2" t="s">
        <v>965</v>
      </c>
      <c r="B339" s="3" t="s">
        <v>966</v>
      </c>
      <c r="C339" s="3" t="s">
        <v>967</v>
      </c>
      <c r="D339" s="2" t="str">
        <f>IFERROR(__xludf.DUMMYFUNCTION("""COMPUTED_VALUE"""),"H")</f>
        <v>H</v>
      </c>
      <c r="E339" s="2" t="s">
        <v>10</v>
      </c>
    </row>
    <row r="340">
      <c r="A340" s="2" t="s">
        <v>968</v>
      </c>
      <c r="B340" s="3" t="s">
        <v>969</v>
      </c>
      <c r="C340" s="3" t="s">
        <v>970</v>
      </c>
      <c r="D340" s="2" t="str">
        <f>IFERROR(__xludf.DUMMYFUNCTION("""COMPUTED_VALUE"""),"L")</f>
        <v>L</v>
      </c>
      <c r="E340" s="2" t="s">
        <v>10</v>
      </c>
    </row>
    <row r="341">
      <c r="A341" s="2" t="s">
        <v>971</v>
      </c>
      <c r="B341" s="3" t="s">
        <v>972</v>
      </c>
      <c r="C341" s="3" t="s">
        <v>973</v>
      </c>
      <c r="D341" s="2" t="str">
        <f>IFERROR(__xludf.DUMMYFUNCTION("""COMPUTED_VALUE"""),"L-L")</f>
        <v>L-L</v>
      </c>
      <c r="E341" s="2" t="s">
        <v>10</v>
      </c>
    </row>
    <row r="342">
      <c r="A342" s="2" t="s">
        <v>974</v>
      </c>
      <c r="B342" s="4" t="s">
        <v>975</v>
      </c>
      <c r="C342" s="3" t="s">
        <v>976</v>
      </c>
      <c r="D342" s="2" t="str">
        <f>IFERROR(__xludf.DUMMYFUNCTION("""COMPUTED_VALUE"""),"H-L")</f>
        <v>H-L</v>
      </c>
      <c r="E342" s="2" t="s">
        <v>10</v>
      </c>
    </row>
    <row r="343">
      <c r="A343" s="2" t="s">
        <v>977</v>
      </c>
      <c r="B343" s="4" t="s">
        <v>975</v>
      </c>
      <c r="C343" s="3" t="s">
        <v>978</v>
      </c>
      <c r="D343" s="2" t="str">
        <f>IFERROR(__xludf.DUMMYFUNCTION("""COMPUTED_VALUE"""),"H-L")</f>
        <v>H-L</v>
      </c>
      <c r="E343" s="2" t="s">
        <v>10</v>
      </c>
    </row>
    <row r="344">
      <c r="A344" s="2" t="s">
        <v>979</v>
      </c>
      <c r="B344" s="3" t="s">
        <v>980</v>
      </c>
      <c r="C344" s="3" t="s">
        <v>981</v>
      </c>
      <c r="D344" s="2" t="str">
        <f>IFERROR(__xludf.DUMMYFUNCTION("""COMPUTED_VALUE"""),"H-L")</f>
        <v>H-L</v>
      </c>
      <c r="E344" s="2" t="s">
        <v>10</v>
      </c>
    </row>
    <row r="345">
      <c r="A345" s="2" t="s">
        <v>982</v>
      </c>
      <c r="B345" s="3" t="s">
        <v>983</v>
      </c>
      <c r="C345" s="3" t="s">
        <v>984</v>
      </c>
      <c r="D345" s="2" t="str">
        <f>IFERROR(__xludf.DUMMYFUNCTION("""COMPUTED_VALUE"""),"L-L-L-H")</f>
        <v>L-L-L-H</v>
      </c>
      <c r="E345" s="2" t="s">
        <v>10</v>
      </c>
    </row>
    <row r="346">
      <c r="A346" s="2" t="s">
        <v>985</v>
      </c>
      <c r="B346" s="3" t="s">
        <v>986</v>
      </c>
      <c r="C346" s="3" t="s">
        <v>987</v>
      </c>
      <c r="D346" s="2" t="str">
        <f>IFERROR(__xludf.DUMMYFUNCTION("""COMPUTED_VALUE"""),"H-H-H")</f>
        <v>H-H-H</v>
      </c>
      <c r="E346" s="2" t="s">
        <v>10</v>
      </c>
    </row>
    <row r="347">
      <c r="A347" s="2" t="s">
        <v>988</v>
      </c>
      <c r="B347" s="3" t="s">
        <v>989</v>
      </c>
      <c r="C347" s="3" t="s">
        <v>990</v>
      </c>
      <c r="D347" s="2" t="str">
        <f>IFERROR(__xludf.DUMMYFUNCTION("""COMPUTED_VALUE"""),"H-H")</f>
        <v>H-H</v>
      </c>
      <c r="E347" s="2" t="s">
        <v>10</v>
      </c>
    </row>
    <row r="348">
      <c r="A348" s="2" t="s">
        <v>991</v>
      </c>
      <c r="B348" s="3" t="s">
        <v>992</v>
      </c>
      <c r="C348" s="3" t="s">
        <v>993</v>
      </c>
      <c r="D348" s="2" t="str">
        <f>IFERROR(__xludf.DUMMYFUNCTION("""COMPUTED_VALUE"""),"H-L-L")</f>
        <v>H-L-L</v>
      </c>
      <c r="E348" s="2" t="s">
        <v>10</v>
      </c>
    </row>
    <row r="349">
      <c r="A349" s="2" t="s">
        <v>994</v>
      </c>
      <c r="B349" s="3" t="s">
        <v>995</v>
      </c>
      <c r="C349" s="3" t="s">
        <v>996</v>
      </c>
      <c r="D349" s="2" t="str">
        <f>IFERROR(__xludf.DUMMYFUNCTION("""COMPUTED_VALUE"""),"L-H")</f>
        <v>L-H</v>
      </c>
      <c r="E349" s="2" t="s">
        <v>10</v>
      </c>
    </row>
    <row r="350">
      <c r="A350" s="2" t="s">
        <v>997</v>
      </c>
      <c r="B350" s="3" t="s">
        <v>998</v>
      </c>
      <c r="C350" s="3" t="s">
        <v>26</v>
      </c>
      <c r="D350" s="2" t="str">
        <f>IFERROR(__xludf.DUMMYFUNCTION("""COMPUTED_VALUE"""),"L-H-L")</f>
        <v>L-H-L</v>
      </c>
      <c r="E350" s="2" t="s">
        <v>10</v>
      </c>
    </row>
    <row r="351">
      <c r="A351" s="2" t="s">
        <v>999</v>
      </c>
      <c r="B351" s="3" t="s">
        <v>1000</v>
      </c>
      <c r="C351" s="3" t="s">
        <v>1001</v>
      </c>
      <c r="D351" s="2" t="str">
        <f>IFERROR(__xludf.DUMMYFUNCTION("""COMPUTED_VALUE"""),"H")</f>
        <v>H</v>
      </c>
      <c r="E351" s="2" t="s">
        <v>10</v>
      </c>
    </row>
    <row r="352">
      <c r="A352" s="2" t="s">
        <v>1002</v>
      </c>
      <c r="B352" s="3" t="s">
        <v>1003</v>
      </c>
      <c r="C352" s="3" t="s">
        <v>1004</v>
      </c>
      <c r="D352" s="2" t="str">
        <f>IFERROR(__xludf.DUMMYFUNCTION("""COMPUTED_VALUE"""),"H-L")</f>
        <v>H-L</v>
      </c>
      <c r="E352" s="2" t="s">
        <v>10</v>
      </c>
    </row>
    <row r="353">
      <c r="A353" s="2" t="s">
        <v>1005</v>
      </c>
      <c r="B353" s="3" t="s">
        <v>1006</v>
      </c>
      <c r="C353" s="3" t="s">
        <v>1007</v>
      </c>
      <c r="D353" s="2" t="str">
        <f>IFERROR(__xludf.DUMMYFUNCTION("""COMPUTED_VALUE"""),"H-H")</f>
        <v>H-H</v>
      </c>
      <c r="E353" s="2" t="s">
        <v>10</v>
      </c>
    </row>
    <row r="354">
      <c r="A354" s="2" t="s">
        <v>1008</v>
      </c>
      <c r="B354" s="3" t="s">
        <v>1009</v>
      </c>
      <c r="C354" s="3" t="s">
        <v>619</v>
      </c>
      <c r="D354" s="2" t="str">
        <f>IFERROR(__xludf.DUMMYFUNCTION("""COMPUTED_VALUE"""),"H-H")</f>
        <v>H-H</v>
      </c>
      <c r="E354" s="2" t="s">
        <v>10</v>
      </c>
    </row>
    <row r="355">
      <c r="A355" s="2" t="s">
        <v>1010</v>
      </c>
      <c r="B355" s="3" t="s">
        <v>1011</v>
      </c>
      <c r="C355" s="3" t="s">
        <v>1012</v>
      </c>
      <c r="D355" s="2" t="str">
        <f>IFERROR(__xludf.DUMMYFUNCTION("""COMPUTED_VALUE"""),"H-H-H-H")</f>
        <v>H-H-H-H</v>
      </c>
      <c r="E355" s="2" t="s">
        <v>10</v>
      </c>
    </row>
    <row r="356">
      <c r="A356" s="2" t="s">
        <v>1013</v>
      </c>
      <c r="B356" s="3" t="s">
        <v>1014</v>
      </c>
      <c r="C356" s="3" t="s">
        <v>1015</v>
      </c>
      <c r="D356" s="2" t="str">
        <f>IFERROR(__xludf.DUMMYFUNCTION("""COMPUTED_VALUE"""),"L-H")</f>
        <v>L-H</v>
      </c>
      <c r="E356" s="2" t="s">
        <v>10</v>
      </c>
    </row>
    <row r="357">
      <c r="A357" s="2" t="s">
        <v>1016</v>
      </c>
      <c r="B357" s="3" t="s">
        <v>565</v>
      </c>
      <c r="C357" s="3" t="s">
        <v>1017</v>
      </c>
      <c r="D357" s="2" t="str">
        <f>IFERROR(__xludf.DUMMYFUNCTION("""COMPUTED_VALUE"""),"L-H")</f>
        <v>L-H</v>
      </c>
      <c r="E357" s="2" t="s">
        <v>10</v>
      </c>
    </row>
    <row r="358">
      <c r="A358" s="2" t="s">
        <v>1018</v>
      </c>
      <c r="B358" s="3" t="s">
        <v>1019</v>
      </c>
      <c r="C358" s="3" t="s">
        <v>1020</v>
      </c>
      <c r="D358" s="2" t="str">
        <f>IFERROR(__xludf.DUMMYFUNCTION("""COMPUTED_VALUE"""),"L-L")</f>
        <v>L-L</v>
      </c>
      <c r="E358" s="2" t="s">
        <v>10</v>
      </c>
    </row>
    <row r="359">
      <c r="A359" s="2" t="s">
        <v>1021</v>
      </c>
      <c r="B359" s="3" t="s">
        <v>1022</v>
      </c>
      <c r="C359" s="3" t="s">
        <v>1023</v>
      </c>
      <c r="D359" s="2" t="str">
        <f>IFERROR(__xludf.DUMMYFUNCTION("""COMPUTED_VALUE"""),"H-L-L")</f>
        <v>H-L-L</v>
      </c>
      <c r="E359" s="2" t="s">
        <v>10</v>
      </c>
    </row>
    <row r="360">
      <c r="A360" s="2" t="s">
        <v>1024</v>
      </c>
      <c r="B360" s="3" t="s">
        <v>1025</v>
      </c>
      <c r="C360" s="3" t="s">
        <v>1026</v>
      </c>
      <c r="D360" s="2" t="str">
        <f>IFERROR(__xludf.DUMMYFUNCTION("""COMPUTED_VALUE"""),"H-H-H-H-H")</f>
        <v>H-H-H-H-H</v>
      </c>
      <c r="E360" s="2" t="s">
        <v>10</v>
      </c>
    </row>
    <row r="361">
      <c r="A361" s="2" t="s">
        <v>1027</v>
      </c>
      <c r="B361" s="3" t="s">
        <v>1028</v>
      </c>
      <c r="C361" s="3" t="s">
        <v>1029</v>
      </c>
      <c r="D361" s="2" t="str">
        <f>IFERROR(__xludf.DUMMYFUNCTION("""COMPUTED_VALUE"""),"L-L-L")</f>
        <v>L-L-L</v>
      </c>
      <c r="E361" s="2" t="s">
        <v>10</v>
      </c>
    </row>
    <row r="362">
      <c r="A362" s="2" t="s">
        <v>1030</v>
      </c>
      <c r="B362" s="3" t="s">
        <v>1031</v>
      </c>
      <c r="C362" s="3" t="s">
        <v>1032</v>
      </c>
      <c r="D362" s="2" t="str">
        <f>IFERROR(__xludf.DUMMYFUNCTION("""COMPUTED_VALUE"""),"H-L")</f>
        <v>H-L</v>
      </c>
      <c r="E362" s="2" t="s">
        <v>10</v>
      </c>
    </row>
    <row r="363">
      <c r="A363" s="2" t="s">
        <v>1033</v>
      </c>
      <c r="B363" s="3" t="s">
        <v>1034</v>
      </c>
      <c r="C363" s="3" t="s">
        <v>1035</v>
      </c>
      <c r="D363" s="2" t="str">
        <f>IFERROR(__xludf.DUMMYFUNCTION("""COMPUTED_VALUE"""),"L-L")</f>
        <v>L-L</v>
      </c>
      <c r="E363" s="2" t="s">
        <v>10</v>
      </c>
    </row>
    <row r="364">
      <c r="A364" s="2" t="s">
        <v>1036</v>
      </c>
      <c r="B364" s="3" t="s">
        <v>1037</v>
      </c>
      <c r="C364" s="3" t="s">
        <v>1038</v>
      </c>
      <c r="D364" s="2" t="str">
        <f>IFERROR(__xludf.DUMMYFUNCTION("""COMPUTED_VALUE"""),"H-H-H")</f>
        <v>H-H-H</v>
      </c>
      <c r="E364" s="2" t="s">
        <v>10</v>
      </c>
    </row>
    <row r="365">
      <c r="A365" s="2" t="s">
        <v>1039</v>
      </c>
      <c r="B365" s="3" t="s">
        <v>1040</v>
      </c>
      <c r="C365" s="3" t="s">
        <v>1041</v>
      </c>
      <c r="D365" s="2" t="str">
        <f>IFERROR(__xludf.DUMMYFUNCTION("""COMPUTED_VALUE"""),"H-H-H")</f>
        <v>H-H-H</v>
      </c>
      <c r="E365" s="2" t="s">
        <v>10</v>
      </c>
    </row>
    <row r="366">
      <c r="A366" s="2" t="s">
        <v>1042</v>
      </c>
      <c r="B366" s="3" t="s">
        <v>1043</v>
      </c>
      <c r="C366" s="3" t="s">
        <v>1044</v>
      </c>
      <c r="D366" s="2" t="str">
        <f>IFERROR(__xludf.DUMMYFUNCTION("""COMPUTED_VALUE"""),"L-H")</f>
        <v>L-H</v>
      </c>
      <c r="E366" s="2" t="s">
        <v>10</v>
      </c>
    </row>
    <row r="367">
      <c r="A367" s="2" t="s">
        <v>1045</v>
      </c>
      <c r="B367" s="3" t="s">
        <v>1046</v>
      </c>
      <c r="C367" s="3" t="s">
        <v>1047</v>
      </c>
      <c r="D367" s="2" t="str">
        <f>IFERROR(__xludf.DUMMYFUNCTION("""COMPUTED_VALUE"""),"L-H-H")</f>
        <v>L-H-H</v>
      </c>
      <c r="E367" s="2" t="s">
        <v>10</v>
      </c>
    </row>
    <row r="368">
      <c r="A368" s="2" t="s">
        <v>1048</v>
      </c>
      <c r="B368" s="3" t="s">
        <v>1049</v>
      </c>
      <c r="C368" s="3" t="s">
        <v>1050</v>
      </c>
      <c r="D368" s="2" t="str">
        <f>IFERROR(__xludf.DUMMYFUNCTION("""COMPUTED_VALUE"""),"L-H-H-H-M")</f>
        <v>L-H-H-H-M</v>
      </c>
      <c r="E368" s="2" t="s">
        <v>10</v>
      </c>
    </row>
    <row r="369">
      <c r="A369" s="2" t="s">
        <v>1051</v>
      </c>
      <c r="B369" s="3" t="s">
        <v>1052</v>
      </c>
      <c r="C369" s="3" t="s">
        <v>1053</v>
      </c>
      <c r="D369" s="2" t="str">
        <f>IFERROR(__xludf.DUMMYFUNCTION("""COMPUTED_VALUE"""),"L-H")</f>
        <v>L-H</v>
      </c>
      <c r="E369" s="2" t="s">
        <v>10</v>
      </c>
    </row>
    <row r="370">
      <c r="A370" s="2" t="s">
        <v>1054</v>
      </c>
      <c r="B370" s="3" t="s">
        <v>1055</v>
      </c>
      <c r="C370" s="3" t="s">
        <v>1056</v>
      </c>
      <c r="D370" s="2" t="str">
        <f>IFERROR(__xludf.DUMMYFUNCTION("""COMPUTED_VALUE"""),"H-H-H")</f>
        <v>H-H-H</v>
      </c>
      <c r="E370" s="2" t="s">
        <v>10</v>
      </c>
    </row>
    <row r="371">
      <c r="A371" s="2" t="s">
        <v>1057</v>
      </c>
      <c r="B371" s="3" t="s">
        <v>1058</v>
      </c>
      <c r="C371" s="3" t="s">
        <v>1059</v>
      </c>
      <c r="D371" s="2" t="str">
        <f>IFERROR(__xludf.DUMMYFUNCTION("""COMPUTED_VALUE"""),"L-H-L")</f>
        <v>L-H-L</v>
      </c>
      <c r="E371" s="2" t="s">
        <v>10</v>
      </c>
    </row>
    <row r="372">
      <c r="A372" s="2" t="s">
        <v>1060</v>
      </c>
      <c r="B372" s="3" t="s">
        <v>1061</v>
      </c>
      <c r="C372" s="3" t="s">
        <v>1062</v>
      </c>
      <c r="D372" s="2" t="str">
        <f>IFERROR(__xludf.DUMMYFUNCTION("""COMPUTED_VALUE"""),"H-H-M")</f>
        <v>H-H-M</v>
      </c>
      <c r="E372" s="2" t="s">
        <v>10</v>
      </c>
    </row>
    <row r="373">
      <c r="A373" s="2" t="s">
        <v>1063</v>
      </c>
      <c r="B373" s="3" t="s">
        <v>1064</v>
      </c>
      <c r="C373" s="3" t="s">
        <v>1065</v>
      </c>
      <c r="D373" s="2" t="str">
        <f>IFERROR(__xludf.DUMMYFUNCTION("""COMPUTED_VALUE"""),"H-L")</f>
        <v>H-L</v>
      </c>
      <c r="E373" s="2" t="s">
        <v>10</v>
      </c>
    </row>
    <row r="374">
      <c r="A374" s="2" t="s">
        <v>1066</v>
      </c>
      <c r="B374" s="3" t="s">
        <v>1067</v>
      </c>
      <c r="C374" s="3" t="s">
        <v>1068</v>
      </c>
      <c r="D374" s="2" t="str">
        <f>IFERROR(__xludf.DUMMYFUNCTION("""COMPUTED_VALUE"""),"L-H-L")</f>
        <v>L-H-L</v>
      </c>
      <c r="E374" s="2" t="s">
        <v>10</v>
      </c>
    </row>
    <row r="375">
      <c r="A375" s="2" t="s">
        <v>1069</v>
      </c>
      <c r="B375" s="3" t="s">
        <v>1070</v>
      </c>
      <c r="C375" s="3" t="s">
        <v>1071</v>
      </c>
      <c r="D375" s="2" t="str">
        <f>IFERROR(__xludf.DUMMYFUNCTION("""COMPUTED_VALUE"""),"H-H-H")</f>
        <v>H-H-H</v>
      </c>
      <c r="E375" s="2" t="s">
        <v>10</v>
      </c>
    </row>
    <row r="376">
      <c r="A376" s="2" t="s">
        <v>1072</v>
      </c>
      <c r="B376" s="3" t="s">
        <v>1073</v>
      </c>
      <c r="C376" s="3" t="s">
        <v>1074</v>
      </c>
      <c r="D376" s="2" t="str">
        <f>IFERROR(__xludf.DUMMYFUNCTION("""COMPUTED_VALUE"""),"H-H-H-H-M")</f>
        <v>H-H-H-H-M</v>
      </c>
      <c r="E376" s="2" t="s">
        <v>10</v>
      </c>
    </row>
    <row r="377">
      <c r="A377" s="2" t="s">
        <v>1075</v>
      </c>
      <c r="B377" s="3" t="s">
        <v>1076</v>
      </c>
      <c r="C377" s="3" t="s">
        <v>1077</v>
      </c>
      <c r="D377" s="2" t="str">
        <f>IFERROR(__xludf.DUMMYFUNCTION("""COMPUTED_VALUE"""),"H-H-H")</f>
        <v>H-H-H</v>
      </c>
      <c r="E377" s="2" t="s">
        <v>10</v>
      </c>
    </row>
    <row r="378">
      <c r="A378" s="2" t="s">
        <v>1078</v>
      </c>
      <c r="B378" s="3" t="s">
        <v>1079</v>
      </c>
      <c r="C378" s="3" t="s">
        <v>1080</v>
      </c>
      <c r="D378" s="2" t="str">
        <f>IFERROR(__xludf.DUMMYFUNCTION("""COMPUTED_VALUE"""),"H-H-H")</f>
        <v>H-H-H</v>
      </c>
      <c r="E378" s="2" t="s">
        <v>10</v>
      </c>
    </row>
    <row r="379">
      <c r="A379" s="2" t="s">
        <v>1081</v>
      </c>
      <c r="B379" s="3" t="s">
        <v>1082</v>
      </c>
      <c r="C379" s="3" t="s">
        <v>1080</v>
      </c>
      <c r="D379" s="2" t="str">
        <f>IFERROR(__xludf.DUMMYFUNCTION("""COMPUTED_VALUE"""),"L-H-H")</f>
        <v>L-H-H</v>
      </c>
      <c r="E379" s="2" t="s">
        <v>10</v>
      </c>
    </row>
    <row r="380">
      <c r="A380" s="2" t="s">
        <v>1083</v>
      </c>
      <c r="B380" s="3" t="s">
        <v>1084</v>
      </c>
      <c r="C380" s="3" t="s">
        <v>1085</v>
      </c>
      <c r="D380" s="2" t="str">
        <f>IFERROR(__xludf.DUMMYFUNCTION("""COMPUTED_VALUE"""),"H-H-L")</f>
        <v>H-H-L</v>
      </c>
      <c r="E380" s="2" t="s">
        <v>10</v>
      </c>
    </row>
    <row r="381">
      <c r="A381" s="2" t="s">
        <v>1086</v>
      </c>
      <c r="B381" s="3" t="s">
        <v>1087</v>
      </c>
      <c r="C381" s="3" t="s">
        <v>1088</v>
      </c>
      <c r="D381" s="2" t="str">
        <f>IFERROR(__xludf.DUMMYFUNCTION("""COMPUTED_VALUE"""),"H-H-M")</f>
        <v>H-H-M</v>
      </c>
      <c r="E381" s="2" t="s">
        <v>10</v>
      </c>
    </row>
    <row r="382">
      <c r="A382" s="2" t="s">
        <v>1089</v>
      </c>
      <c r="B382" s="3" t="s">
        <v>1090</v>
      </c>
      <c r="C382" s="3" t="s">
        <v>1088</v>
      </c>
      <c r="D382" s="2" t="str">
        <f>IFERROR(__xludf.DUMMYFUNCTION("""COMPUTED_VALUE"""),"H-H-M")</f>
        <v>H-H-M</v>
      </c>
      <c r="E382" s="2" t="s">
        <v>10</v>
      </c>
    </row>
    <row r="383">
      <c r="A383" s="2" t="s">
        <v>1091</v>
      </c>
      <c r="B383" s="3" t="s">
        <v>1092</v>
      </c>
      <c r="C383" s="3" t="s">
        <v>1093</v>
      </c>
      <c r="D383" s="2" t="str">
        <f>IFERROR(__xludf.DUMMYFUNCTION("""COMPUTED_VALUE"""),"H-L-H")</f>
        <v>H-L-H</v>
      </c>
      <c r="E383" s="2" t="s">
        <v>10</v>
      </c>
    </row>
    <row r="384">
      <c r="A384" s="2" t="s">
        <v>1094</v>
      </c>
      <c r="B384" s="3" t="s">
        <v>1095</v>
      </c>
      <c r="C384" s="3" t="s">
        <v>289</v>
      </c>
      <c r="D384" s="2" t="str">
        <f>IFERROR(__xludf.DUMMYFUNCTION("""COMPUTED_VALUE"""),"H-H-H")</f>
        <v>H-H-H</v>
      </c>
      <c r="E384" s="2" t="s">
        <v>10</v>
      </c>
    </row>
    <row r="385">
      <c r="A385" s="2" t="s">
        <v>1096</v>
      </c>
      <c r="B385" s="3" t="s">
        <v>1097</v>
      </c>
      <c r="C385" s="3" t="s">
        <v>1098</v>
      </c>
      <c r="D385" s="2" t="str">
        <f>IFERROR(__xludf.DUMMYFUNCTION("""COMPUTED_VALUE"""),"L-L")</f>
        <v>L-L</v>
      </c>
      <c r="E385" s="2" t="s">
        <v>10</v>
      </c>
    </row>
    <row r="386">
      <c r="A386" s="2" t="s">
        <v>1099</v>
      </c>
      <c r="B386" s="3" t="s">
        <v>1100</v>
      </c>
      <c r="C386" s="3" t="s">
        <v>941</v>
      </c>
      <c r="D386" s="2" t="str">
        <f>IFERROR(__xludf.DUMMYFUNCTION("""COMPUTED_VALUE"""),"H")</f>
        <v>H</v>
      </c>
      <c r="E386" s="2" t="s">
        <v>10</v>
      </c>
    </row>
    <row r="387">
      <c r="A387" s="2" t="s">
        <v>1101</v>
      </c>
      <c r="B387" s="3" t="s">
        <v>1102</v>
      </c>
      <c r="C387" s="3" t="s">
        <v>1103</v>
      </c>
      <c r="D387" s="2" t="str">
        <f>IFERROR(__xludf.DUMMYFUNCTION("""COMPUTED_VALUE"""),"H-M-M")</f>
        <v>H-M-M</v>
      </c>
      <c r="E387" s="2" t="s">
        <v>10</v>
      </c>
    </row>
    <row r="388">
      <c r="A388" s="2" t="s">
        <v>1104</v>
      </c>
      <c r="B388" s="3" t="s">
        <v>1105</v>
      </c>
      <c r="C388" s="3" t="s">
        <v>944</v>
      </c>
      <c r="D388" s="2" t="str">
        <f>IFERROR(__xludf.DUMMYFUNCTION("""COMPUTED_VALUE"""),"H-L-L")</f>
        <v>H-L-L</v>
      </c>
      <c r="E388" s="2" t="s">
        <v>10</v>
      </c>
    </row>
    <row r="389">
      <c r="A389" s="2" t="s">
        <v>1106</v>
      </c>
      <c r="B389" s="3" t="s">
        <v>1107</v>
      </c>
      <c r="C389" s="3" t="s">
        <v>1108</v>
      </c>
      <c r="D389" s="2" t="str">
        <f>IFERROR(__xludf.DUMMYFUNCTION("""COMPUTED_VALUE"""),"H-H")</f>
        <v>H-H</v>
      </c>
      <c r="E389" s="2" t="s">
        <v>10</v>
      </c>
    </row>
    <row r="390">
      <c r="A390" s="2" t="s">
        <v>1109</v>
      </c>
      <c r="B390" s="3" t="s">
        <v>1110</v>
      </c>
      <c r="C390" s="3" t="s">
        <v>1108</v>
      </c>
      <c r="D390" s="2" t="str">
        <f>IFERROR(__xludf.DUMMYFUNCTION("""COMPUTED_VALUE"""),"H-H")</f>
        <v>H-H</v>
      </c>
      <c r="E390" s="2" t="s">
        <v>10</v>
      </c>
    </row>
    <row r="391">
      <c r="A391" s="2" t="s">
        <v>1111</v>
      </c>
      <c r="B391" s="3" t="s">
        <v>1112</v>
      </c>
      <c r="C391" s="3" t="s">
        <v>1113</v>
      </c>
      <c r="D391" s="2" t="str">
        <f>IFERROR(__xludf.DUMMYFUNCTION("""COMPUTED_VALUE"""),"L-L")</f>
        <v>L-L</v>
      </c>
      <c r="E391" s="2" t="s">
        <v>10</v>
      </c>
    </row>
    <row r="392">
      <c r="A392" s="2" t="s">
        <v>1114</v>
      </c>
      <c r="B392" s="4" t="s">
        <v>1115</v>
      </c>
      <c r="C392" s="3" t="s">
        <v>959</v>
      </c>
      <c r="D392" s="2" t="str">
        <f>IFERROR(__xludf.DUMMYFUNCTION("""COMPUTED_VALUE"""),"H-H")</f>
        <v>H-H</v>
      </c>
      <c r="E392" s="2" t="s">
        <v>10</v>
      </c>
    </row>
    <row r="393">
      <c r="A393" s="2" t="s">
        <v>1116</v>
      </c>
      <c r="B393" s="4" t="s">
        <v>1115</v>
      </c>
      <c r="C393" s="3" t="s">
        <v>1108</v>
      </c>
      <c r="D393" s="2" t="str">
        <f>IFERROR(__xludf.DUMMYFUNCTION("""COMPUTED_VALUE"""),"H-H")</f>
        <v>H-H</v>
      </c>
      <c r="E393" s="2" t="s">
        <v>10</v>
      </c>
    </row>
    <row r="394">
      <c r="A394" s="2" t="s">
        <v>1117</v>
      </c>
      <c r="B394" s="3" t="s">
        <v>1118</v>
      </c>
      <c r="C394" s="3" t="s">
        <v>1119</v>
      </c>
      <c r="D394" s="2" t="str">
        <f>IFERROR(__xludf.DUMMYFUNCTION("""COMPUTED_VALUE"""),"H-L")</f>
        <v>H-L</v>
      </c>
      <c r="E394" s="2" t="s">
        <v>10</v>
      </c>
    </row>
    <row r="395">
      <c r="A395" s="2" t="s">
        <v>1120</v>
      </c>
      <c r="B395" s="3" t="s">
        <v>1121</v>
      </c>
      <c r="C395" s="3" t="s">
        <v>1122</v>
      </c>
      <c r="D395" s="2" t="str">
        <f>IFERROR(__xludf.DUMMYFUNCTION("""COMPUTED_VALUE"""),"L-H")</f>
        <v>L-H</v>
      </c>
      <c r="E395" s="2" t="s">
        <v>10</v>
      </c>
    </row>
    <row r="396">
      <c r="A396" s="2" t="s">
        <v>1123</v>
      </c>
      <c r="B396" s="3" t="s">
        <v>1124</v>
      </c>
      <c r="C396" s="3" t="s">
        <v>1125</v>
      </c>
      <c r="D396" s="2" t="str">
        <f>IFERROR(__xludf.DUMMYFUNCTION("""COMPUTED_VALUE"""),"L-L")</f>
        <v>L-L</v>
      </c>
      <c r="E396" s="2" t="s">
        <v>10</v>
      </c>
    </row>
    <row r="397">
      <c r="A397" s="2" t="s">
        <v>1126</v>
      </c>
      <c r="B397" s="3" t="s">
        <v>1127</v>
      </c>
      <c r="C397" s="3" t="s">
        <v>1128</v>
      </c>
      <c r="D397" s="2" t="str">
        <f>IFERROR(__xludf.DUMMYFUNCTION("""COMPUTED_VALUE"""),"H-H")</f>
        <v>H-H</v>
      </c>
      <c r="E397" s="2" t="s">
        <v>10</v>
      </c>
    </row>
    <row r="398">
      <c r="A398" s="2" t="s">
        <v>1129</v>
      </c>
      <c r="B398" s="3" t="s">
        <v>1130</v>
      </c>
      <c r="C398" s="3" t="s">
        <v>1131</v>
      </c>
      <c r="D398" s="2" t="str">
        <f>IFERROR(__xludf.DUMMYFUNCTION("""COMPUTED_VALUE"""),"L-L-L")</f>
        <v>L-L-L</v>
      </c>
      <c r="E398" s="2" t="s">
        <v>10</v>
      </c>
    </row>
    <row r="399">
      <c r="A399" s="2" t="s">
        <v>1132</v>
      </c>
      <c r="B399" s="3" t="s">
        <v>1133</v>
      </c>
      <c r="C399" s="3" t="s">
        <v>1134</v>
      </c>
      <c r="D399" s="2" t="str">
        <f>IFERROR(__xludf.DUMMYFUNCTION("""COMPUTED_VALUE"""),"L-H")</f>
        <v>L-H</v>
      </c>
      <c r="E399" s="2" t="s">
        <v>10</v>
      </c>
    </row>
    <row r="400">
      <c r="A400" s="2" t="s">
        <v>1135</v>
      </c>
      <c r="B400" s="3" t="s">
        <v>1136</v>
      </c>
      <c r="C400" s="3" t="s">
        <v>1137</v>
      </c>
      <c r="D400" s="2" t="str">
        <f>IFERROR(__xludf.DUMMYFUNCTION("""COMPUTED_VALUE"""),"H-L-L")</f>
        <v>H-L-L</v>
      </c>
      <c r="E400" s="2" t="s">
        <v>10</v>
      </c>
    </row>
    <row r="401">
      <c r="A401" s="2" t="s">
        <v>1138</v>
      </c>
      <c r="B401" s="3" t="s">
        <v>1139</v>
      </c>
      <c r="C401" s="3" t="s">
        <v>1140</v>
      </c>
      <c r="D401" s="2" t="str">
        <f>IFERROR(__xludf.DUMMYFUNCTION("""COMPUTED_VALUE"""),"H-L")</f>
        <v>H-L</v>
      </c>
      <c r="E401" s="2" t="s">
        <v>10</v>
      </c>
    </row>
    <row r="402">
      <c r="A402" s="2" t="s">
        <v>1141</v>
      </c>
      <c r="B402" s="3" t="s">
        <v>1142</v>
      </c>
      <c r="C402" s="3" t="s">
        <v>1143</v>
      </c>
      <c r="D402" s="2" t="str">
        <f>IFERROR(__xludf.DUMMYFUNCTION("""COMPUTED_VALUE"""),"L-L-H-H")</f>
        <v>L-L-H-H</v>
      </c>
      <c r="E402" s="2" t="s">
        <v>10</v>
      </c>
    </row>
    <row r="403">
      <c r="A403" s="2" t="s">
        <v>1144</v>
      </c>
      <c r="B403" s="3" t="s">
        <v>1145</v>
      </c>
      <c r="C403" s="3" t="s">
        <v>950</v>
      </c>
      <c r="D403" s="2" t="str">
        <f>IFERROR(__xludf.DUMMYFUNCTION("""COMPUTED_VALUE"""),"H-H-H")</f>
        <v>H-H-H</v>
      </c>
      <c r="E403" s="2" t="s">
        <v>10</v>
      </c>
    </row>
    <row r="404">
      <c r="A404" s="2" t="s">
        <v>1146</v>
      </c>
      <c r="B404" s="3" t="s">
        <v>1147</v>
      </c>
      <c r="C404" s="3" t="s">
        <v>1148</v>
      </c>
      <c r="D404" s="2" t="str">
        <f>IFERROR(__xludf.DUMMYFUNCTION("""COMPUTED_VALUE"""),"H-H")</f>
        <v>H-H</v>
      </c>
      <c r="E404" s="2" t="s">
        <v>10</v>
      </c>
    </row>
    <row r="405">
      <c r="A405" s="2" t="s">
        <v>1149</v>
      </c>
      <c r="B405" s="3" t="s">
        <v>1150</v>
      </c>
      <c r="C405" s="3" t="s">
        <v>1151</v>
      </c>
      <c r="D405" s="2" t="str">
        <f>IFERROR(__xludf.DUMMYFUNCTION("""COMPUTED_VALUE"""),"L-H-H")</f>
        <v>L-H-H</v>
      </c>
      <c r="E405" s="2" t="s">
        <v>10</v>
      </c>
    </row>
    <row r="406">
      <c r="A406" s="2" t="s">
        <v>1152</v>
      </c>
      <c r="B406" s="3" t="s">
        <v>1153</v>
      </c>
      <c r="C406" s="3" t="s">
        <v>1154</v>
      </c>
      <c r="D406" s="2" t="str">
        <f>IFERROR(__xludf.DUMMYFUNCTION("""COMPUTED_VALUE"""),"L-L-L")</f>
        <v>L-L-L</v>
      </c>
      <c r="E406" s="2" t="s">
        <v>10</v>
      </c>
    </row>
    <row r="407">
      <c r="A407" s="2" t="s">
        <v>1155</v>
      </c>
      <c r="B407" s="3" t="s">
        <v>1156</v>
      </c>
      <c r="C407" s="3" t="s">
        <v>1157</v>
      </c>
      <c r="D407" s="2" t="str">
        <f>IFERROR(__xludf.DUMMYFUNCTION("""COMPUTED_VALUE"""),"H-H-H")</f>
        <v>H-H-H</v>
      </c>
      <c r="E407" s="2" t="s">
        <v>10</v>
      </c>
    </row>
    <row r="408">
      <c r="A408" s="2" t="s">
        <v>1158</v>
      </c>
      <c r="B408" s="3" t="s">
        <v>1159</v>
      </c>
      <c r="C408" s="3" t="s">
        <v>1160</v>
      </c>
      <c r="D408" s="2" t="str">
        <f>IFERROR(__xludf.DUMMYFUNCTION("""COMPUTED_VALUE"""),"H-H-H")</f>
        <v>H-H-H</v>
      </c>
      <c r="E408" s="2" t="s">
        <v>10</v>
      </c>
    </row>
    <row r="409">
      <c r="A409" s="2" t="s">
        <v>1161</v>
      </c>
      <c r="B409" s="4" t="s">
        <v>1162</v>
      </c>
      <c r="C409" s="3" t="s">
        <v>1163</v>
      </c>
      <c r="D409" s="2" t="str">
        <f>IFERROR(__xludf.DUMMYFUNCTION("""COMPUTED_VALUE"""),"L-L-L")</f>
        <v>L-L-L</v>
      </c>
      <c r="E409" s="2" t="s">
        <v>10</v>
      </c>
    </row>
    <row r="410">
      <c r="A410" s="2" t="s">
        <v>1164</v>
      </c>
      <c r="B410" s="4" t="s">
        <v>1162</v>
      </c>
      <c r="C410" s="3" t="s">
        <v>1163</v>
      </c>
      <c r="D410" s="2" t="str">
        <f>IFERROR(__xludf.DUMMYFUNCTION("""COMPUTED_VALUE"""),"L-L-L")</f>
        <v>L-L-L</v>
      </c>
      <c r="E410" s="2" t="s">
        <v>10</v>
      </c>
    </row>
    <row r="411">
      <c r="A411" s="2" t="s">
        <v>1165</v>
      </c>
      <c r="B411" s="3" t="s">
        <v>1166</v>
      </c>
      <c r="C411" s="3" t="s">
        <v>1122</v>
      </c>
      <c r="D411" s="2" t="str">
        <f>IFERROR(__xludf.DUMMYFUNCTION("""COMPUTED_VALUE"""),"H-M-M")</f>
        <v>H-M-M</v>
      </c>
      <c r="E411" s="2" t="s">
        <v>10</v>
      </c>
    </row>
    <row r="412">
      <c r="A412" s="2" t="s">
        <v>1167</v>
      </c>
      <c r="B412" s="3" t="s">
        <v>1168</v>
      </c>
      <c r="C412" s="3" t="s">
        <v>1169</v>
      </c>
      <c r="D412" s="2" t="str">
        <f>IFERROR(__xludf.DUMMYFUNCTION("""COMPUTED_VALUE"""),"H-H")</f>
        <v>H-H</v>
      </c>
      <c r="E412" s="2" t="s">
        <v>10</v>
      </c>
    </row>
    <row r="413">
      <c r="A413" s="2" t="s">
        <v>1170</v>
      </c>
      <c r="B413" s="3" t="s">
        <v>1171</v>
      </c>
      <c r="C413" s="3" t="s">
        <v>1172</v>
      </c>
      <c r="D413" s="2" t="str">
        <f>IFERROR(__xludf.DUMMYFUNCTION("""COMPUTED_VALUE"""),"H-H")</f>
        <v>H-H</v>
      </c>
      <c r="E413" s="2" t="s">
        <v>10</v>
      </c>
    </row>
    <row r="414">
      <c r="A414" s="2" t="s">
        <v>1173</v>
      </c>
      <c r="B414" s="3" t="s">
        <v>1174</v>
      </c>
      <c r="C414" s="3" t="s">
        <v>850</v>
      </c>
      <c r="D414" s="2" t="str">
        <f>IFERROR(__xludf.DUMMYFUNCTION("""COMPUTED_VALUE"""),"H-H-L")</f>
        <v>H-H-L</v>
      </c>
      <c r="E414" s="2" t="s">
        <v>10</v>
      </c>
    </row>
    <row r="415">
      <c r="A415" s="2" t="s">
        <v>1175</v>
      </c>
      <c r="B415" s="3" t="s">
        <v>1176</v>
      </c>
      <c r="C415" s="3" t="s">
        <v>1177</v>
      </c>
      <c r="D415" s="2" t="str">
        <f>IFERROR(__xludf.DUMMYFUNCTION("""COMPUTED_VALUE"""),"H-L-H")</f>
        <v>H-L-H</v>
      </c>
      <c r="E415" s="2" t="s">
        <v>10</v>
      </c>
    </row>
    <row r="416">
      <c r="A416" s="2" t="s">
        <v>1178</v>
      </c>
      <c r="B416" s="3" t="s">
        <v>1179</v>
      </c>
      <c r="C416" s="3" t="s">
        <v>1180</v>
      </c>
      <c r="D416" s="2" t="str">
        <f>IFERROR(__xludf.DUMMYFUNCTION("""COMPUTED_VALUE"""),"L-L-L")</f>
        <v>L-L-L</v>
      </c>
      <c r="E416" s="2" t="s">
        <v>10</v>
      </c>
    </row>
    <row r="417">
      <c r="A417" s="2" t="s">
        <v>1181</v>
      </c>
      <c r="B417" s="3" t="s">
        <v>1182</v>
      </c>
      <c r="C417" s="3" t="s">
        <v>1183</v>
      </c>
      <c r="D417" s="2" t="str">
        <f>IFERROR(__xludf.DUMMYFUNCTION("""COMPUTED_VALUE"""),"H-H-H-H")</f>
        <v>H-H-H-H</v>
      </c>
      <c r="E417" s="2" t="s">
        <v>10</v>
      </c>
    </row>
    <row r="418">
      <c r="A418" s="2" t="s">
        <v>1184</v>
      </c>
      <c r="B418" s="3" t="s">
        <v>1185</v>
      </c>
      <c r="C418" s="3" t="s">
        <v>1186</v>
      </c>
      <c r="D418" s="2" t="str">
        <f>IFERROR(__xludf.DUMMYFUNCTION("""COMPUTED_VALUE"""),"H-H-M")</f>
        <v>H-H-M</v>
      </c>
      <c r="E418" s="2" t="s">
        <v>10</v>
      </c>
    </row>
    <row r="419">
      <c r="A419" s="2" t="s">
        <v>1187</v>
      </c>
      <c r="B419" s="3" t="s">
        <v>1188</v>
      </c>
      <c r="C419" s="3" t="s">
        <v>1189</v>
      </c>
      <c r="D419" s="2" t="str">
        <f>IFERROR(__xludf.DUMMYFUNCTION("""COMPUTED_VALUE"""),"L-H-H")</f>
        <v>L-H-H</v>
      </c>
      <c r="E419" s="2" t="s">
        <v>10</v>
      </c>
    </row>
    <row r="420">
      <c r="A420" s="2" t="s">
        <v>1190</v>
      </c>
      <c r="B420" s="3" t="s">
        <v>1191</v>
      </c>
      <c r="C420" s="3" t="s">
        <v>1192</v>
      </c>
      <c r="D420" s="2" t="str">
        <f>IFERROR(__xludf.DUMMYFUNCTION("""COMPUTED_VALUE"""),"H-H")</f>
        <v>H-H</v>
      </c>
      <c r="E420" s="2" t="s">
        <v>10</v>
      </c>
    </row>
    <row r="421">
      <c r="A421" s="2" t="s">
        <v>1193</v>
      </c>
      <c r="B421" s="3" t="s">
        <v>1194</v>
      </c>
      <c r="C421" s="3" t="s">
        <v>1195</v>
      </c>
      <c r="D421" s="2" t="str">
        <f>IFERROR(__xludf.DUMMYFUNCTION("""COMPUTED_VALUE"""),"H-H-H")</f>
        <v>H-H-H</v>
      </c>
      <c r="E421" s="2" t="s">
        <v>10</v>
      </c>
    </row>
    <row r="422">
      <c r="A422" s="2" t="s">
        <v>1196</v>
      </c>
      <c r="B422" s="3" t="s">
        <v>1197</v>
      </c>
      <c r="C422" s="3" t="s">
        <v>1198</v>
      </c>
      <c r="D422" s="2" t="str">
        <f>IFERROR(__xludf.DUMMYFUNCTION("""COMPUTED_VALUE"""),"L-L")</f>
        <v>L-L</v>
      </c>
      <c r="E422" s="2" t="s">
        <v>10</v>
      </c>
    </row>
    <row r="423">
      <c r="A423" s="2" t="s">
        <v>1199</v>
      </c>
      <c r="B423" s="3" t="s">
        <v>1200</v>
      </c>
      <c r="C423" s="3" t="s">
        <v>1059</v>
      </c>
      <c r="D423" s="2" t="str">
        <f>IFERROR(__xludf.DUMMYFUNCTION("""COMPUTED_VALUE"""),"L-H-L")</f>
        <v>L-H-L</v>
      </c>
      <c r="E423" s="2" t="s">
        <v>10</v>
      </c>
    </row>
    <row r="424">
      <c r="A424" s="2" t="s">
        <v>1201</v>
      </c>
      <c r="B424" s="3" t="s">
        <v>1202</v>
      </c>
      <c r="C424" s="3" t="s">
        <v>1203</v>
      </c>
      <c r="D424" s="2" t="str">
        <f>IFERROR(__xludf.DUMMYFUNCTION("""COMPUTED_VALUE"""),"H-H-H")</f>
        <v>H-H-H</v>
      </c>
      <c r="E424" s="2" t="s">
        <v>10</v>
      </c>
    </row>
    <row r="425">
      <c r="A425" s="2" t="s">
        <v>1204</v>
      </c>
      <c r="B425" s="3" t="s">
        <v>1205</v>
      </c>
      <c r="C425" s="3" t="s">
        <v>1206</v>
      </c>
      <c r="D425" s="2" t="str">
        <f>IFERROR(__xludf.DUMMYFUNCTION("""COMPUTED_VALUE"""),"H-H")</f>
        <v>H-H</v>
      </c>
      <c r="E425" s="2" t="s">
        <v>10</v>
      </c>
    </row>
    <row r="426">
      <c r="A426" s="2" t="s">
        <v>1207</v>
      </c>
      <c r="B426" s="4" t="s">
        <v>1208</v>
      </c>
      <c r="C426" s="3" t="s">
        <v>922</v>
      </c>
      <c r="D426" s="2" t="str">
        <f>IFERROR(__xludf.DUMMYFUNCTION("""COMPUTED_VALUE"""),"H-L")</f>
        <v>H-L</v>
      </c>
      <c r="E426" s="2" t="s">
        <v>10</v>
      </c>
    </row>
    <row r="427">
      <c r="A427" s="2" t="s">
        <v>1209</v>
      </c>
      <c r="B427" s="4" t="s">
        <v>1208</v>
      </c>
      <c r="C427" s="3" t="s">
        <v>922</v>
      </c>
      <c r="D427" s="2" t="str">
        <f>IFERROR(__xludf.DUMMYFUNCTION("""COMPUTED_VALUE"""),"H-L")</f>
        <v>H-L</v>
      </c>
      <c r="E427" s="2" t="s">
        <v>10</v>
      </c>
    </row>
    <row r="428">
      <c r="A428" s="2" t="s">
        <v>1210</v>
      </c>
      <c r="B428" s="3" t="s">
        <v>1211</v>
      </c>
      <c r="C428" s="3" t="s">
        <v>956</v>
      </c>
      <c r="D428" s="2" t="str">
        <f>IFERROR(__xludf.DUMMYFUNCTION("""COMPUTED_VALUE"""),"H-H")</f>
        <v>H-H</v>
      </c>
      <c r="E428" s="2" t="s">
        <v>10</v>
      </c>
    </row>
    <row r="429">
      <c r="A429" s="2" t="s">
        <v>1212</v>
      </c>
      <c r="B429" s="3" t="s">
        <v>1213</v>
      </c>
      <c r="C429" s="3" t="s">
        <v>1214</v>
      </c>
      <c r="D429" s="2" t="str">
        <f>IFERROR(__xludf.DUMMYFUNCTION("""COMPUTED_VALUE"""),"H-L")</f>
        <v>H-L</v>
      </c>
      <c r="E429" s="2" t="s">
        <v>10</v>
      </c>
    </row>
    <row r="430">
      <c r="A430" s="2" t="s">
        <v>1215</v>
      </c>
      <c r="B430" s="3" t="s">
        <v>1216</v>
      </c>
      <c r="C430" s="3" t="s">
        <v>1217</v>
      </c>
      <c r="D430" s="2" t="str">
        <f>IFERROR(__xludf.DUMMYFUNCTION("""COMPUTED_VALUE"""),"H-H")</f>
        <v>H-H</v>
      </c>
      <c r="E430" s="2" t="s">
        <v>10</v>
      </c>
    </row>
    <row r="431">
      <c r="A431" s="2" t="s">
        <v>1218</v>
      </c>
      <c r="B431" s="3" t="s">
        <v>1219</v>
      </c>
      <c r="C431" s="3" t="s">
        <v>1220</v>
      </c>
      <c r="D431" s="2" t="str">
        <f>IFERROR(__xludf.DUMMYFUNCTION("""COMPUTED_VALUE"""),"H-H")</f>
        <v>H-H</v>
      </c>
      <c r="E431" s="2" t="s">
        <v>10</v>
      </c>
    </row>
    <row r="432">
      <c r="A432" s="2" t="s">
        <v>1221</v>
      </c>
      <c r="B432" s="3" t="s">
        <v>1222</v>
      </c>
      <c r="C432" s="3" t="s">
        <v>260</v>
      </c>
      <c r="D432" s="2" t="str">
        <f>IFERROR(__xludf.DUMMYFUNCTION("""COMPUTED_VALUE"""),"H-H-M")</f>
        <v>H-H-M</v>
      </c>
      <c r="E432" s="2" t="s">
        <v>10</v>
      </c>
    </row>
    <row r="433">
      <c r="A433" s="2" t="s">
        <v>1223</v>
      </c>
      <c r="B433" s="3" t="s">
        <v>1224</v>
      </c>
      <c r="C433" s="3" t="s">
        <v>1225</v>
      </c>
      <c r="D433" s="2" t="str">
        <f>IFERROR(__xludf.DUMMYFUNCTION("""COMPUTED_VALUE"""),"H-L-L")</f>
        <v>H-L-L</v>
      </c>
      <c r="E433" s="2" t="s">
        <v>10</v>
      </c>
    </row>
    <row r="434">
      <c r="A434" s="2" t="s">
        <v>1226</v>
      </c>
      <c r="B434" s="3" t="s">
        <v>1227</v>
      </c>
      <c r="C434" s="3" t="s">
        <v>1228</v>
      </c>
      <c r="D434" s="2" t="str">
        <f>IFERROR(__xludf.DUMMYFUNCTION("""COMPUTED_VALUE"""),"H-H")</f>
        <v>H-H</v>
      </c>
      <c r="E434" s="2" t="s">
        <v>10</v>
      </c>
    </row>
    <row r="435">
      <c r="A435" s="2" t="s">
        <v>1229</v>
      </c>
      <c r="B435" s="3" t="s">
        <v>1230</v>
      </c>
      <c r="C435" s="3" t="s">
        <v>1231</v>
      </c>
      <c r="D435" s="2" t="str">
        <f>IFERROR(__xludf.DUMMYFUNCTION("""COMPUTED_VALUE"""),"H")</f>
        <v>H</v>
      </c>
      <c r="E435" s="2" t="s">
        <v>10</v>
      </c>
    </row>
    <row r="436">
      <c r="A436" s="2" t="s">
        <v>1232</v>
      </c>
      <c r="B436" s="3" t="s">
        <v>1233</v>
      </c>
      <c r="C436" s="3" t="s">
        <v>325</v>
      </c>
      <c r="D436" s="2" t="str">
        <f>IFERROR(__xludf.DUMMYFUNCTION("""COMPUTED_VALUE"""),"L-L")</f>
        <v>L-L</v>
      </c>
      <c r="E436" s="2" t="s">
        <v>10</v>
      </c>
    </row>
    <row r="437">
      <c r="A437" s="2" t="s">
        <v>1234</v>
      </c>
      <c r="B437" s="3" t="s">
        <v>1235</v>
      </c>
      <c r="C437" s="3" t="s">
        <v>1236</v>
      </c>
      <c r="D437" s="2" t="str">
        <f>IFERROR(__xludf.DUMMYFUNCTION("""COMPUTED_VALUE"""),"L-L")</f>
        <v>L-L</v>
      </c>
      <c r="E437" s="2" t="s">
        <v>10</v>
      </c>
    </row>
    <row r="438">
      <c r="A438" s="2" t="s">
        <v>1237</v>
      </c>
      <c r="B438" s="3" t="s">
        <v>1238</v>
      </c>
      <c r="C438" s="3" t="s">
        <v>1239</v>
      </c>
      <c r="D438" s="2" t="str">
        <f>IFERROR(__xludf.DUMMYFUNCTION("""COMPUTED_VALUE"""),"L-L-L-L")</f>
        <v>L-L-L-L</v>
      </c>
      <c r="E438" s="2" t="s">
        <v>10</v>
      </c>
    </row>
    <row r="439">
      <c r="A439" s="2" t="s">
        <v>1240</v>
      </c>
      <c r="B439" s="3" t="s">
        <v>1241</v>
      </c>
      <c r="C439" s="3" t="s">
        <v>959</v>
      </c>
      <c r="D439" s="2" t="str">
        <f>IFERROR(__xludf.DUMMYFUNCTION("""COMPUTED_VALUE"""),"H-H")</f>
        <v>H-H</v>
      </c>
      <c r="E439" s="2" t="s">
        <v>10</v>
      </c>
    </row>
    <row r="440">
      <c r="A440" s="2" t="s">
        <v>1242</v>
      </c>
      <c r="B440" s="3" t="s">
        <v>1243</v>
      </c>
      <c r="C440" s="3" t="s">
        <v>1217</v>
      </c>
      <c r="D440" s="2" t="str">
        <f>IFERROR(__xludf.DUMMYFUNCTION("""COMPUTED_VALUE"""),"H-H")</f>
        <v>H-H</v>
      </c>
      <c r="E440" s="2" t="s">
        <v>10</v>
      </c>
    </row>
    <row r="441">
      <c r="A441" s="2" t="s">
        <v>1244</v>
      </c>
      <c r="B441" s="3" t="s">
        <v>1245</v>
      </c>
      <c r="C441" s="3" t="s">
        <v>956</v>
      </c>
      <c r="D441" s="2" t="str">
        <f>IFERROR(__xludf.DUMMYFUNCTION("""COMPUTED_VALUE"""),"H-H")</f>
        <v>H-H</v>
      </c>
      <c r="E441" s="2" t="s">
        <v>10</v>
      </c>
    </row>
    <row r="442">
      <c r="A442" s="2" t="s">
        <v>1246</v>
      </c>
      <c r="B442" s="3" t="s">
        <v>1247</v>
      </c>
      <c r="C442" s="3" t="s">
        <v>1248</v>
      </c>
      <c r="D442" s="2" t="str">
        <f>IFERROR(__xludf.DUMMYFUNCTION("""COMPUTED_VALUE"""),"L-H")</f>
        <v>L-H</v>
      </c>
      <c r="E442" s="2" t="s">
        <v>10</v>
      </c>
    </row>
    <row r="443">
      <c r="A443" s="2" t="s">
        <v>1249</v>
      </c>
      <c r="B443" s="3" t="s">
        <v>1250</v>
      </c>
      <c r="C443" s="3" t="s">
        <v>1251</v>
      </c>
      <c r="D443" s="2" t="str">
        <f>IFERROR(__xludf.DUMMYFUNCTION("""COMPUTED_VALUE"""),"L-H")</f>
        <v>L-H</v>
      </c>
      <c r="E443" s="2" t="s">
        <v>10</v>
      </c>
    </row>
    <row r="444">
      <c r="A444" s="2" t="s">
        <v>1252</v>
      </c>
      <c r="B444" s="3" t="s">
        <v>1253</v>
      </c>
      <c r="C444" s="3" t="s">
        <v>1254</v>
      </c>
      <c r="D444" s="2" t="str">
        <f>IFERROR(__xludf.DUMMYFUNCTION("""COMPUTED_VALUE"""),"H-L-H")</f>
        <v>H-L-H</v>
      </c>
      <c r="E444" s="2" t="s">
        <v>10</v>
      </c>
    </row>
    <row r="445">
      <c r="A445" s="2" t="s">
        <v>1255</v>
      </c>
      <c r="B445" s="3" t="s">
        <v>1256</v>
      </c>
      <c r="C445" s="3" t="s">
        <v>1257</v>
      </c>
      <c r="D445" s="2" t="str">
        <f>IFERROR(__xludf.DUMMYFUNCTION("""COMPUTED_VALUE"""),"H-H")</f>
        <v>H-H</v>
      </c>
      <c r="E445" s="2" t="s">
        <v>10</v>
      </c>
    </row>
    <row r="446">
      <c r="A446" s="2" t="s">
        <v>1258</v>
      </c>
      <c r="B446" s="3" t="s">
        <v>1259</v>
      </c>
      <c r="C446" s="3" t="s">
        <v>1260</v>
      </c>
      <c r="D446" s="2" t="str">
        <f>IFERROR(__xludf.DUMMYFUNCTION("""COMPUTED_VALUE"""),"L-H-M")</f>
        <v>L-H-M</v>
      </c>
      <c r="E446" s="2" t="s">
        <v>10</v>
      </c>
    </row>
    <row r="447">
      <c r="A447" s="2" t="s">
        <v>1261</v>
      </c>
      <c r="B447" s="3" t="s">
        <v>1262</v>
      </c>
      <c r="C447" s="3" t="s">
        <v>1263</v>
      </c>
      <c r="D447" s="2" t="str">
        <f>IFERROR(__xludf.DUMMYFUNCTION("""COMPUTED_VALUE"""),"H-H")</f>
        <v>H-H</v>
      </c>
      <c r="E447" s="2" t="s">
        <v>10</v>
      </c>
    </row>
    <row r="448">
      <c r="A448" s="2" t="s">
        <v>1264</v>
      </c>
      <c r="B448" s="3" t="s">
        <v>1265</v>
      </c>
      <c r="C448" s="3" t="s">
        <v>1266</v>
      </c>
      <c r="D448" s="2" t="str">
        <f>IFERROR(__xludf.DUMMYFUNCTION("""COMPUTED_VALUE"""),"H-L")</f>
        <v>H-L</v>
      </c>
      <c r="E448" s="2" t="s">
        <v>10</v>
      </c>
    </row>
    <row r="449">
      <c r="A449" s="2" t="s">
        <v>1267</v>
      </c>
      <c r="B449" s="3" t="s">
        <v>1268</v>
      </c>
      <c r="C449" s="3" t="s">
        <v>1269</v>
      </c>
      <c r="D449" s="2" t="str">
        <f>IFERROR(__xludf.DUMMYFUNCTION("""COMPUTED_VALUE"""),"H-H-H-H-H")</f>
        <v>H-H-H-H-H</v>
      </c>
      <c r="E449" s="2" t="s">
        <v>10</v>
      </c>
    </row>
    <row r="450">
      <c r="A450" s="2" t="s">
        <v>1270</v>
      </c>
      <c r="B450" s="3" t="s">
        <v>1271</v>
      </c>
      <c r="C450" s="3" t="s">
        <v>1272</v>
      </c>
      <c r="D450" s="2" t="str">
        <f>IFERROR(__xludf.DUMMYFUNCTION("""COMPUTED_VALUE"""),"L-L")</f>
        <v>L-L</v>
      </c>
      <c r="E450" s="2" t="s">
        <v>10</v>
      </c>
    </row>
    <row r="451">
      <c r="A451" s="2" t="s">
        <v>1273</v>
      </c>
      <c r="B451" s="3" t="s">
        <v>1274</v>
      </c>
      <c r="C451" s="3" t="s">
        <v>1275</v>
      </c>
      <c r="D451" s="2" t="str">
        <f>IFERROR(__xludf.DUMMYFUNCTION("""COMPUTED_VALUE"""),"H-L")</f>
        <v>H-L</v>
      </c>
      <c r="E451" s="2" t="s">
        <v>10</v>
      </c>
    </row>
    <row r="452">
      <c r="A452" s="2" t="s">
        <v>1276</v>
      </c>
      <c r="B452" s="3" t="s">
        <v>1277</v>
      </c>
      <c r="C452" s="3" t="s">
        <v>1278</v>
      </c>
      <c r="D452" s="2" t="str">
        <f>IFERROR(__xludf.DUMMYFUNCTION("""COMPUTED_VALUE"""),"H-L-L")</f>
        <v>H-L-L</v>
      </c>
      <c r="E452" s="2" t="s">
        <v>10</v>
      </c>
    </row>
    <row r="453">
      <c r="A453" s="2" t="s">
        <v>1279</v>
      </c>
      <c r="B453" s="3" t="s">
        <v>1280</v>
      </c>
      <c r="C453" s="3" t="s">
        <v>1281</v>
      </c>
      <c r="D453" s="2" t="str">
        <f>IFERROR(__xludf.DUMMYFUNCTION("""COMPUTED_VALUE"""),"H-L-L-H-M")</f>
        <v>H-L-L-H-M</v>
      </c>
      <c r="E453" s="2" t="s">
        <v>10</v>
      </c>
    </row>
    <row r="454">
      <c r="A454" s="2" t="s">
        <v>1282</v>
      </c>
      <c r="B454" s="3" t="s">
        <v>1283</v>
      </c>
      <c r="C454" s="3" t="s">
        <v>1284</v>
      </c>
      <c r="D454" s="2" t="str">
        <f>IFERROR(__xludf.DUMMYFUNCTION("""COMPUTED_VALUE"""),"H-H")</f>
        <v>H-H</v>
      </c>
      <c r="E454" s="2" t="s">
        <v>10</v>
      </c>
    </row>
    <row r="455">
      <c r="A455" s="2" t="s">
        <v>1285</v>
      </c>
      <c r="B455" s="3" t="s">
        <v>1286</v>
      </c>
      <c r="C455" s="3" t="s">
        <v>1287</v>
      </c>
      <c r="D455" s="2" t="str">
        <f>IFERROR(__xludf.DUMMYFUNCTION("""COMPUTED_VALUE"""),"L-H-M")</f>
        <v>L-H-M</v>
      </c>
      <c r="E455" s="2" t="s">
        <v>10</v>
      </c>
    </row>
    <row r="456">
      <c r="A456" s="2" t="s">
        <v>1288</v>
      </c>
      <c r="B456" s="4" t="s">
        <v>1289</v>
      </c>
      <c r="C456" s="3" t="s">
        <v>1290</v>
      </c>
      <c r="D456" s="2" t="str">
        <f>IFERROR(__xludf.DUMMYFUNCTION("""COMPUTED_VALUE"""),"H")</f>
        <v>H</v>
      </c>
      <c r="E456" s="2" t="s">
        <v>10</v>
      </c>
    </row>
    <row r="457">
      <c r="A457" s="2" t="s">
        <v>1291</v>
      </c>
      <c r="B457" s="4" t="s">
        <v>1289</v>
      </c>
      <c r="C457" s="3" t="s">
        <v>964</v>
      </c>
      <c r="D457" s="2" t="str">
        <f>IFERROR(__xludf.DUMMYFUNCTION("""COMPUTED_VALUE"""),"H")</f>
        <v>H</v>
      </c>
      <c r="E457" s="2" t="s">
        <v>10</v>
      </c>
    </row>
    <row r="458">
      <c r="A458" s="2" t="s">
        <v>1292</v>
      </c>
      <c r="B458" s="3" t="s">
        <v>1293</v>
      </c>
      <c r="C458" s="3" t="s">
        <v>1294</v>
      </c>
      <c r="D458" s="2" t="str">
        <f>IFERROR(__xludf.DUMMYFUNCTION("""COMPUTED_VALUE"""),"L-L")</f>
        <v>L-L</v>
      </c>
      <c r="E458" s="2" t="s">
        <v>10</v>
      </c>
    </row>
    <row r="459">
      <c r="A459" s="2" t="s">
        <v>1295</v>
      </c>
      <c r="B459" s="3" t="s">
        <v>1296</v>
      </c>
      <c r="C459" s="3" t="s">
        <v>1297</v>
      </c>
      <c r="D459" s="2" t="str">
        <f>IFERROR(__xludf.DUMMYFUNCTION("""COMPUTED_VALUE"""),"H-L-H")</f>
        <v>H-L-H</v>
      </c>
      <c r="E459" s="2" t="s">
        <v>10</v>
      </c>
    </row>
    <row r="460">
      <c r="A460" s="2" t="s">
        <v>1298</v>
      </c>
      <c r="B460" s="3" t="s">
        <v>1299</v>
      </c>
      <c r="C460" s="3" t="s">
        <v>1300</v>
      </c>
      <c r="D460" s="2" t="str">
        <f>IFERROR(__xludf.DUMMYFUNCTION("""COMPUTED_VALUE"""),"H-L-H")</f>
        <v>H-L-H</v>
      </c>
      <c r="E460" s="2" t="s">
        <v>10</v>
      </c>
    </row>
    <row r="461">
      <c r="A461" s="2" t="s">
        <v>1301</v>
      </c>
      <c r="B461" s="3" t="s">
        <v>1302</v>
      </c>
      <c r="C461" s="3" t="s">
        <v>1303</v>
      </c>
      <c r="D461" s="2" t="str">
        <f>IFERROR(__xludf.DUMMYFUNCTION("""COMPUTED_VALUE"""),"L-H-H")</f>
        <v>L-H-H</v>
      </c>
      <c r="E461" s="2" t="s">
        <v>10</v>
      </c>
    </row>
    <row r="462">
      <c r="A462" s="2" t="s">
        <v>1304</v>
      </c>
      <c r="B462" s="3" t="s">
        <v>1305</v>
      </c>
      <c r="C462" s="3" t="s">
        <v>1306</v>
      </c>
      <c r="D462" s="2" t="str">
        <f>IFERROR(__xludf.DUMMYFUNCTION("""COMPUTED_VALUE"""),"H-H-L")</f>
        <v>H-H-L</v>
      </c>
      <c r="E462" s="2" t="s">
        <v>10</v>
      </c>
    </row>
    <row r="463">
      <c r="A463" s="2" t="s">
        <v>1307</v>
      </c>
      <c r="B463" s="3" t="s">
        <v>1308</v>
      </c>
      <c r="C463" s="3" t="s">
        <v>1309</v>
      </c>
      <c r="D463" s="2" t="str">
        <f>IFERROR(__xludf.DUMMYFUNCTION("""COMPUTED_VALUE"""),"H")</f>
        <v>H</v>
      </c>
      <c r="E463" s="2" t="s">
        <v>10</v>
      </c>
    </row>
    <row r="464">
      <c r="A464" s="2" t="s">
        <v>1310</v>
      </c>
      <c r="B464" s="3" t="s">
        <v>1311</v>
      </c>
      <c r="C464" s="3" t="s">
        <v>1312</v>
      </c>
      <c r="D464" s="2" t="str">
        <f>IFERROR(__xludf.DUMMYFUNCTION("""COMPUTED_VALUE"""),"H-H-M")</f>
        <v>H-H-M</v>
      </c>
      <c r="E464" s="2" t="s">
        <v>10</v>
      </c>
    </row>
    <row r="465">
      <c r="A465" s="2" t="s">
        <v>1313</v>
      </c>
      <c r="B465" s="3" t="s">
        <v>1314</v>
      </c>
      <c r="C465" s="3" t="s">
        <v>1315</v>
      </c>
      <c r="D465" s="2" t="str">
        <f>IFERROR(__xludf.DUMMYFUNCTION("""COMPUTED_VALUE"""),"L-L-H-L")</f>
        <v>L-L-H-L</v>
      </c>
      <c r="E465" s="2" t="s">
        <v>10</v>
      </c>
    </row>
    <row r="466">
      <c r="A466" s="2" t="s">
        <v>1316</v>
      </c>
      <c r="B466" s="3" t="s">
        <v>1317</v>
      </c>
      <c r="C466" s="3" t="s">
        <v>584</v>
      </c>
      <c r="D466" s="2" t="str">
        <f>IFERROR(__xludf.DUMMYFUNCTION("""COMPUTED_VALUE"""),"L")</f>
        <v>L</v>
      </c>
      <c r="E466" s="2" t="s">
        <v>10</v>
      </c>
    </row>
    <row r="467">
      <c r="A467" s="2" t="s">
        <v>1318</v>
      </c>
      <c r="B467" s="3" t="s">
        <v>1319</v>
      </c>
      <c r="C467" s="3" t="s">
        <v>1320</v>
      </c>
      <c r="D467" s="2" t="str">
        <f>IFERROR(__xludf.DUMMYFUNCTION("""COMPUTED_VALUE"""),"H-L-L")</f>
        <v>H-L-L</v>
      </c>
      <c r="E467" s="2" t="s">
        <v>10</v>
      </c>
    </row>
    <row r="468">
      <c r="A468" s="2" t="s">
        <v>1321</v>
      </c>
      <c r="B468" s="3" t="s">
        <v>1322</v>
      </c>
      <c r="C468" s="3" t="s">
        <v>1323</v>
      </c>
      <c r="D468" s="2" t="str">
        <f>IFERROR(__xludf.DUMMYFUNCTION("""COMPUTED_VALUE"""),"H-H-M")</f>
        <v>H-H-M</v>
      </c>
      <c r="E468" s="2" t="s">
        <v>10</v>
      </c>
    </row>
    <row r="469">
      <c r="A469" s="2" t="s">
        <v>1324</v>
      </c>
      <c r="B469" s="3" t="s">
        <v>1325</v>
      </c>
      <c r="C469" s="3" t="s">
        <v>1326</v>
      </c>
      <c r="D469" s="2" t="str">
        <f>IFERROR(__xludf.DUMMYFUNCTION("""COMPUTED_VALUE"""),"H-L")</f>
        <v>H-L</v>
      </c>
      <c r="E469" s="2" t="s">
        <v>10</v>
      </c>
    </row>
    <row r="470">
      <c r="A470" s="2" t="s">
        <v>1327</v>
      </c>
      <c r="B470" s="3" t="s">
        <v>1328</v>
      </c>
      <c r="C470" s="3" t="s">
        <v>1329</v>
      </c>
      <c r="D470" s="2" t="str">
        <f>IFERROR(__xludf.DUMMYFUNCTION("""COMPUTED_VALUE"""),"H")</f>
        <v>H</v>
      </c>
      <c r="E470" s="2" t="s">
        <v>10</v>
      </c>
    </row>
    <row r="471">
      <c r="A471" s="2" t="s">
        <v>1330</v>
      </c>
      <c r="B471" s="3" t="s">
        <v>1331</v>
      </c>
      <c r="C471" s="3" t="s">
        <v>1266</v>
      </c>
      <c r="D471" s="2" t="str">
        <f>IFERROR(__xludf.DUMMYFUNCTION("""COMPUTED_VALUE"""),"H-H-M")</f>
        <v>H-H-M</v>
      </c>
      <c r="E471" s="2" t="s">
        <v>10</v>
      </c>
    </row>
    <row r="472">
      <c r="A472" s="2" t="s">
        <v>1332</v>
      </c>
      <c r="B472" s="3" t="s">
        <v>1333</v>
      </c>
      <c r="C472" s="3" t="s">
        <v>1334</v>
      </c>
      <c r="D472" s="2" t="str">
        <f>IFERROR(__xludf.DUMMYFUNCTION("""COMPUTED_VALUE"""),"H-M")</f>
        <v>H-M</v>
      </c>
      <c r="E472" s="2" t="s">
        <v>10</v>
      </c>
    </row>
    <row r="473">
      <c r="A473" s="2" t="s">
        <v>1335</v>
      </c>
      <c r="B473" s="3" t="s">
        <v>1336</v>
      </c>
      <c r="C473" s="3" t="s">
        <v>1337</v>
      </c>
      <c r="D473" s="2" t="str">
        <f>IFERROR(__xludf.DUMMYFUNCTION("""COMPUTED_VALUE"""),"H")</f>
        <v>H</v>
      </c>
      <c r="E473" s="2" t="s">
        <v>10</v>
      </c>
    </row>
    <row r="474">
      <c r="A474" s="2" t="s">
        <v>1338</v>
      </c>
      <c r="B474" s="3" t="s">
        <v>1339</v>
      </c>
      <c r="C474" s="3" t="s">
        <v>1340</v>
      </c>
      <c r="D474" s="2" t="str">
        <f>IFERROR(__xludf.DUMMYFUNCTION("""COMPUTED_VALUE"""),"H-L")</f>
        <v>H-L</v>
      </c>
      <c r="E474" s="2" t="s">
        <v>10</v>
      </c>
    </row>
    <row r="475">
      <c r="A475" s="2" t="s">
        <v>1341</v>
      </c>
      <c r="B475" s="3" t="s">
        <v>1342</v>
      </c>
      <c r="C475" s="3" t="s">
        <v>1343</v>
      </c>
      <c r="D475" s="2" t="str">
        <f>IFERROR(__xludf.DUMMYFUNCTION("""COMPUTED_VALUE"""),"H-H-H")</f>
        <v>H-H-H</v>
      </c>
      <c r="E475" s="2" t="s">
        <v>10</v>
      </c>
    </row>
    <row r="476">
      <c r="A476" s="2" t="s">
        <v>1344</v>
      </c>
      <c r="B476" s="3" t="s">
        <v>1345</v>
      </c>
      <c r="C476" s="3" t="s">
        <v>1346</v>
      </c>
      <c r="D476" s="2" t="str">
        <f>IFERROR(__xludf.DUMMYFUNCTION("""COMPUTED_VALUE"""),"L")</f>
        <v>L</v>
      </c>
      <c r="E476" s="2" t="s">
        <v>10</v>
      </c>
    </row>
    <row r="477">
      <c r="A477" s="2" t="s">
        <v>1347</v>
      </c>
      <c r="B477" s="3" t="s">
        <v>1348</v>
      </c>
      <c r="C477" s="3" t="s">
        <v>1349</v>
      </c>
      <c r="D477" s="2" t="str">
        <f>IFERROR(__xludf.DUMMYFUNCTION("""COMPUTED_VALUE"""),"H")</f>
        <v>H</v>
      </c>
      <c r="E477" s="2" t="s">
        <v>10</v>
      </c>
    </row>
    <row r="478">
      <c r="A478" s="2" t="s">
        <v>1350</v>
      </c>
      <c r="B478" s="3" t="s">
        <v>1351</v>
      </c>
      <c r="C478" s="3" t="s">
        <v>1352</v>
      </c>
      <c r="D478" s="2" t="str">
        <f>IFERROR(__xludf.DUMMYFUNCTION("""COMPUTED_VALUE"""),"H-H-H")</f>
        <v>H-H-H</v>
      </c>
      <c r="E478" s="2" t="s">
        <v>10</v>
      </c>
    </row>
    <row r="479">
      <c r="A479" s="2" t="s">
        <v>1353</v>
      </c>
      <c r="B479" s="3" t="s">
        <v>1354</v>
      </c>
      <c r="C479" s="3" t="s">
        <v>1355</v>
      </c>
      <c r="D479" s="2" t="str">
        <f>IFERROR(__xludf.DUMMYFUNCTION("""COMPUTED_VALUE"""),"H-M")</f>
        <v>H-M</v>
      </c>
      <c r="E479" s="2" t="s">
        <v>10</v>
      </c>
    </row>
    <row r="480">
      <c r="A480" s="2" t="s">
        <v>1356</v>
      </c>
      <c r="B480" s="3" t="s">
        <v>1357</v>
      </c>
      <c r="C480" s="3" t="s">
        <v>1266</v>
      </c>
      <c r="D480" s="2" t="str">
        <f>IFERROR(__xludf.DUMMYFUNCTION("""COMPUTED_VALUE"""),"H-H-M")</f>
        <v>H-H-M</v>
      </c>
      <c r="E480" s="2" t="s">
        <v>10</v>
      </c>
    </row>
    <row r="481">
      <c r="A481" s="2" t="s">
        <v>1358</v>
      </c>
      <c r="B481" s="3" t="s">
        <v>1359</v>
      </c>
      <c r="C481" s="3" t="s">
        <v>1360</v>
      </c>
      <c r="D481" s="2" t="str">
        <f>IFERROR(__xludf.DUMMYFUNCTION("""COMPUTED_VALUE"""),"H-L")</f>
        <v>H-L</v>
      </c>
      <c r="E481" s="2" t="s">
        <v>10</v>
      </c>
    </row>
    <row r="482">
      <c r="A482" s="2" t="s">
        <v>1361</v>
      </c>
      <c r="B482" s="3" t="s">
        <v>1362</v>
      </c>
      <c r="C482" s="3" t="s">
        <v>1363</v>
      </c>
      <c r="D482" s="2" t="str">
        <f>IFERROR(__xludf.DUMMYFUNCTION("""COMPUTED_VALUE"""),"L-L-L")</f>
        <v>L-L-L</v>
      </c>
      <c r="E482" s="2" t="s">
        <v>10</v>
      </c>
    </row>
    <row r="483">
      <c r="A483" s="2" t="s">
        <v>1364</v>
      </c>
      <c r="B483" s="3" t="s">
        <v>1365</v>
      </c>
      <c r="C483" s="3" t="s">
        <v>1366</v>
      </c>
      <c r="D483" s="2" t="str">
        <f>IFERROR(__xludf.DUMMYFUNCTION("""COMPUTED_VALUE"""),"H-H")</f>
        <v>H-H</v>
      </c>
      <c r="E483" s="2" t="s">
        <v>10</v>
      </c>
    </row>
    <row r="484">
      <c r="A484" s="2" t="s">
        <v>1367</v>
      </c>
      <c r="B484" s="3" t="s">
        <v>1368</v>
      </c>
      <c r="C484" s="3" t="s">
        <v>1369</v>
      </c>
      <c r="D484" s="2" t="str">
        <f>IFERROR(__xludf.DUMMYFUNCTION("""COMPUTED_VALUE"""),"H-H-H-L")</f>
        <v>H-H-H-L</v>
      </c>
      <c r="E484" s="2" t="s">
        <v>10</v>
      </c>
    </row>
    <row r="485">
      <c r="A485" s="2" t="s">
        <v>1370</v>
      </c>
      <c r="B485" s="3" t="s">
        <v>1371</v>
      </c>
      <c r="C485" s="3" t="s">
        <v>1372</v>
      </c>
      <c r="D485" s="2" t="str">
        <f>IFERROR(__xludf.DUMMYFUNCTION("""COMPUTED_VALUE"""),"H-H")</f>
        <v>H-H</v>
      </c>
      <c r="E485" s="2" t="s">
        <v>10</v>
      </c>
    </row>
    <row r="486">
      <c r="A486" s="2" t="s">
        <v>1373</v>
      </c>
      <c r="B486" s="3" t="s">
        <v>1374</v>
      </c>
      <c r="C486" s="3" t="s">
        <v>1375</v>
      </c>
      <c r="D486" s="2" t="str">
        <f>IFERROR(__xludf.DUMMYFUNCTION("""COMPUTED_VALUE"""),"H-H-H-H-M")</f>
        <v>H-H-H-H-M</v>
      </c>
      <c r="E486" s="2" t="s">
        <v>10</v>
      </c>
    </row>
    <row r="487">
      <c r="A487" s="2" t="s">
        <v>1376</v>
      </c>
      <c r="B487" s="3" t="s">
        <v>1377</v>
      </c>
      <c r="C487" s="3" t="s">
        <v>1378</v>
      </c>
      <c r="D487" s="2" t="str">
        <f>IFERROR(__xludf.DUMMYFUNCTION("""COMPUTED_VALUE"""),"L-H")</f>
        <v>L-H</v>
      </c>
      <c r="E487" s="2" t="s">
        <v>10</v>
      </c>
    </row>
    <row r="488">
      <c r="A488" s="2" t="s">
        <v>1379</v>
      </c>
      <c r="B488" s="3" t="s">
        <v>1380</v>
      </c>
      <c r="C488" s="3" t="s">
        <v>508</v>
      </c>
      <c r="D488" s="2" t="str">
        <f>IFERROR(__xludf.DUMMYFUNCTION("""COMPUTED_VALUE"""),"L-L-L")</f>
        <v>L-L-L</v>
      </c>
      <c r="E488" s="2" t="s">
        <v>10</v>
      </c>
    </row>
    <row r="489">
      <c r="A489" s="2" t="s">
        <v>1381</v>
      </c>
      <c r="B489" s="3" t="s">
        <v>1382</v>
      </c>
      <c r="C489" s="3" t="s">
        <v>1378</v>
      </c>
      <c r="D489" s="2" t="str">
        <f>IFERROR(__xludf.DUMMYFUNCTION("""COMPUTED_VALUE"""),"L-H-M")</f>
        <v>L-H-M</v>
      </c>
      <c r="E489" s="2" t="s">
        <v>10</v>
      </c>
    </row>
    <row r="490">
      <c r="A490" s="2" t="s">
        <v>1383</v>
      </c>
      <c r="B490" s="3" t="s">
        <v>1384</v>
      </c>
      <c r="C490" s="3" t="s">
        <v>1020</v>
      </c>
      <c r="D490" s="2" t="str">
        <f>IFERROR(__xludf.DUMMYFUNCTION("""COMPUTED_VALUE"""),"H-L")</f>
        <v>H-L</v>
      </c>
      <c r="E490" s="2" t="s">
        <v>10</v>
      </c>
    </row>
    <row r="491">
      <c r="A491" s="2" t="s">
        <v>1385</v>
      </c>
      <c r="B491" s="3" t="s">
        <v>1386</v>
      </c>
      <c r="C491" s="3" t="s">
        <v>1387</v>
      </c>
      <c r="D491" s="2" t="str">
        <f>IFERROR(__xludf.DUMMYFUNCTION("""COMPUTED_VALUE"""),"L-L-L")</f>
        <v>L-L-L</v>
      </c>
      <c r="E491" s="2" t="s">
        <v>10</v>
      </c>
    </row>
    <row r="492">
      <c r="A492" s="2" t="s">
        <v>1388</v>
      </c>
      <c r="B492" s="3" t="s">
        <v>1389</v>
      </c>
      <c r="C492" s="3" t="s">
        <v>1390</v>
      </c>
      <c r="D492" s="2" t="str">
        <f>IFERROR(__xludf.DUMMYFUNCTION("""COMPUTED_VALUE"""),"H-H-H-H")</f>
        <v>H-H-H-H</v>
      </c>
      <c r="E492" s="2" t="s">
        <v>10</v>
      </c>
    </row>
    <row r="493">
      <c r="A493" s="2" t="s">
        <v>1391</v>
      </c>
      <c r="B493" s="3" t="s">
        <v>1392</v>
      </c>
      <c r="C493" s="3" t="s">
        <v>1390</v>
      </c>
      <c r="D493" s="2" t="str">
        <f>IFERROR(__xludf.DUMMYFUNCTION("""COMPUTED_VALUE"""),"H-H-H-H")</f>
        <v>H-H-H-H</v>
      </c>
      <c r="E493" s="2" t="s">
        <v>10</v>
      </c>
    </row>
    <row r="494">
      <c r="A494" s="2" t="s">
        <v>1393</v>
      </c>
      <c r="B494" s="3" t="s">
        <v>1394</v>
      </c>
      <c r="C494" s="3" t="s">
        <v>1395</v>
      </c>
      <c r="D494" s="2" t="str">
        <f>IFERROR(__xludf.DUMMYFUNCTION("""COMPUTED_VALUE"""),"L-H")</f>
        <v>L-H</v>
      </c>
      <c r="E494" s="2" t="s">
        <v>10</v>
      </c>
    </row>
    <row r="495">
      <c r="A495" s="2" t="s">
        <v>1396</v>
      </c>
      <c r="B495" s="3" t="s">
        <v>1397</v>
      </c>
      <c r="C495" s="3" t="s">
        <v>1398</v>
      </c>
      <c r="D495" s="2" t="str">
        <f>IFERROR(__xludf.DUMMYFUNCTION("""COMPUTED_VALUE"""),"H-M")</f>
        <v>H-M</v>
      </c>
      <c r="E495" s="2" t="s">
        <v>10</v>
      </c>
    </row>
    <row r="496">
      <c r="A496" s="2" t="s">
        <v>1399</v>
      </c>
      <c r="B496" s="3" t="s">
        <v>1400</v>
      </c>
      <c r="C496" s="3" t="s">
        <v>1401</v>
      </c>
      <c r="D496" s="2" t="str">
        <f>IFERROR(__xludf.DUMMYFUNCTION("""COMPUTED_VALUE"""),"H-L-H-L-L-L")</f>
        <v>H-L-H-L-L-L</v>
      </c>
      <c r="E496" s="2" t="s">
        <v>10</v>
      </c>
    </row>
    <row r="497">
      <c r="A497" s="2" t="s">
        <v>1402</v>
      </c>
      <c r="B497" s="3" t="s">
        <v>1403</v>
      </c>
      <c r="C497" s="3" t="s">
        <v>1020</v>
      </c>
      <c r="D497" s="2" t="str">
        <f>IFERROR(__xludf.DUMMYFUNCTION("""COMPUTED_VALUE"""),"L-L-L")</f>
        <v>L-L-L</v>
      </c>
      <c r="E497" s="2" t="s">
        <v>10</v>
      </c>
    </row>
    <row r="498">
      <c r="A498" s="2" t="s">
        <v>1404</v>
      </c>
      <c r="B498" s="3" t="s">
        <v>1405</v>
      </c>
      <c r="C498" s="3" t="s">
        <v>1406</v>
      </c>
      <c r="D498" s="2" t="str">
        <f>IFERROR(__xludf.DUMMYFUNCTION("""COMPUTED_VALUE"""),"L-H")</f>
        <v>L-H</v>
      </c>
      <c r="E498" s="2" t="s">
        <v>10</v>
      </c>
    </row>
    <row r="499">
      <c r="A499" s="2" t="s">
        <v>1407</v>
      </c>
      <c r="B499" s="3" t="s">
        <v>1408</v>
      </c>
      <c r="C499" s="3" t="s">
        <v>1409</v>
      </c>
      <c r="D499" s="2" t="str">
        <f>IFERROR(__xludf.DUMMYFUNCTION("""COMPUTED_VALUE"""),"H-H")</f>
        <v>H-H</v>
      </c>
      <c r="E499" s="2" t="s">
        <v>10</v>
      </c>
    </row>
    <row r="500">
      <c r="A500" s="2" t="s">
        <v>1410</v>
      </c>
      <c r="B500" s="3" t="s">
        <v>1411</v>
      </c>
      <c r="C500" s="3" t="s">
        <v>1412</v>
      </c>
      <c r="D500" s="2" t="str">
        <f>IFERROR(__xludf.DUMMYFUNCTION("""COMPUTED_VALUE"""),"H-L")</f>
        <v>H-L</v>
      </c>
      <c r="E500" s="2" t="s">
        <v>10</v>
      </c>
    </row>
    <row r="501">
      <c r="A501" s="2" t="s">
        <v>1413</v>
      </c>
      <c r="B501" s="3" t="s">
        <v>1414</v>
      </c>
      <c r="C501" s="3" t="s">
        <v>1415</v>
      </c>
      <c r="D501" s="2" t="str">
        <f>IFERROR(__xludf.DUMMYFUNCTION("""COMPUTED_VALUE"""),"L-H")</f>
        <v>L-H</v>
      </c>
      <c r="E501" s="2" t="s">
        <v>10</v>
      </c>
    </row>
    <row r="502">
      <c r="A502" s="2" t="s">
        <v>1416</v>
      </c>
      <c r="B502" s="3" t="s">
        <v>1417</v>
      </c>
      <c r="C502" s="3" t="s">
        <v>1418</v>
      </c>
      <c r="D502" s="2" t="str">
        <f>IFERROR(__xludf.DUMMYFUNCTION("""COMPUTED_VALUE"""),"L-L")</f>
        <v>L-L</v>
      </c>
      <c r="E502" s="2" t="s">
        <v>10</v>
      </c>
    </row>
    <row r="503">
      <c r="A503" s="2" t="s">
        <v>1419</v>
      </c>
      <c r="B503" s="3" t="s">
        <v>1420</v>
      </c>
      <c r="C503" s="3" t="s">
        <v>1421</v>
      </c>
      <c r="D503" s="2" t="str">
        <f>IFERROR(__xludf.DUMMYFUNCTION("""COMPUTED_VALUE"""),"H-L-L")</f>
        <v>H-L-L</v>
      </c>
      <c r="E503" s="2" t="s">
        <v>10</v>
      </c>
    </row>
    <row r="504">
      <c r="A504" s="2" t="s">
        <v>1422</v>
      </c>
      <c r="B504" s="3" t="s">
        <v>1423</v>
      </c>
      <c r="C504" s="3" t="s">
        <v>1424</v>
      </c>
      <c r="D504" s="2" t="str">
        <f>IFERROR(__xludf.DUMMYFUNCTION("""COMPUTED_VALUE"""),"H-L-H-H")</f>
        <v>H-L-H-H</v>
      </c>
      <c r="E504" s="2" t="s">
        <v>10</v>
      </c>
    </row>
    <row r="505">
      <c r="A505" s="2" t="s">
        <v>1425</v>
      </c>
      <c r="B505" s="3" t="s">
        <v>1426</v>
      </c>
      <c r="C505" s="3" t="s">
        <v>1427</v>
      </c>
      <c r="D505" s="2" t="str">
        <f>IFERROR(__xludf.DUMMYFUNCTION("""COMPUTED_VALUE"""),"L-L-L-H-H")</f>
        <v>L-L-L-H-H</v>
      </c>
      <c r="E505" s="2" t="s">
        <v>10</v>
      </c>
    </row>
    <row r="506">
      <c r="A506" s="2" t="s">
        <v>1428</v>
      </c>
      <c r="B506" s="3" t="s">
        <v>1429</v>
      </c>
      <c r="C506" s="3" t="s">
        <v>1430</v>
      </c>
      <c r="D506" s="2" t="str">
        <f>IFERROR(__xludf.DUMMYFUNCTION("""COMPUTED_VALUE"""),"L-H-H")</f>
        <v>L-H-H</v>
      </c>
      <c r="E506" s="2" t="s">
        <v>10</v>
      </c>
    </row>
    <row r="507">
      <c r="A507" s="2" t="s">
        <v>1431</v>
      </c>
      <c r="B507" s="3" t="s">
        <v>1432</v>
      </c>
      <c r="C507" s="3" t="s">
        <v>1430</v>
      </c>
      <c r="D507" s="2" t="str">
        <f>IFERROR(__xludf.DUMMYFUNCTION("""COMPUTED_VALUE"""),"L-H-H-L")</f>
        <v>L-H-H-L</v>
      </c>
      <c r="E507" s="2" t="s">
        <v>10</v>
      </c>
    </row>
    <row r="508">
      <c r="A508" s="2" t="s">
        <v>1433</v>
      </c>
      <c r="B508" s="3" t="s">
        <v>1434</v>
      </c>
      <c r="C508" s="3" t="s">
        <v>1435</v>
      </c>
      <c r="D508" s="2" t="str">
        <f>IFERROR(__xludf.DUMMYFUNCTION("""COMPUTED_VALUE"""),"L-L-H")</f>
        <v>L-L-H</v>
      </c>
      <c r="E508" s="2" t="s">
        <v>10</v>
      </c>
    </row>
    <row r="509">
      <c r="A509" s="2" t="s">
        <v>1436</v>
      </c>
      <c r="B509" s="3" t="s">
        <v>1437</v>
      </c>
      <c r="C509" s="3" t="s">
        <v>1424</v>
      </c>
      <c r="D509" s="2" t="str">
        <f>IFERROR(__xludf.DUMMYFUNCTION("""COMPUTED_VALUE"""),"H-H-H-H")</f>
        <v>H-H-H-H</v>
      </c>
      <c r="E509" s="2" t="s">
        <v>10</v>
      </c>
    </row>
    <row r="510">
      <c r="A510" s="2" t="s">
        <v>1438</v>
      </c>
      <c r="B510" s="3" t="s">
        <v>1439</v>
      </c>
      <c r="C510" s="3" t="s">
        <v>1440</v>
      </c>
      <c r="D510" s="2" t="str">
        <f>IFERROR(__xludf.DUMMYFUNCTION("""COMPUTED_VALUE"""),"L-H")</f>
        <v>L-H</v>
      </c>
      <c r="E510" s="2" t="s">
        <v>10</v>
      </c>
    </row>
    <row r="511">
      <c r="A511" s="2" t="s">
        <v>1441</v>
      </c>
      <c r="B511" s="3" t="s">
        <v>1442</v>
      </c>
      <c r="C511" s="3" t="s">
        <v>1443</v>
      </c>
      <c r="D511" s="2" t="str">
        <f>IFERROR(__xludf.DUMMYFUNCTION("""COMPUTED_VALUE"""),"L-H-H-L")</f>
        <v>L-H-H-L</v>
      </c>
      <c r="E511" s="2" t="s">
        <v>10</v>
      </c>
    </row>
    <row r="512">
      <c r="A512" s="2" t="s">
        <v>1444</v>
      </c>
      <c r="B512" s="3" t="s">
        <v>1445</v>
      </c>
      <c r="C512" s="3" t="s">
        <v>1446</v>
      </c>
      <c r="D512" s="2" t="str">
        <f>IFERROR(__xludf.DUMMYFUNCTION("""COMPUTED_VALUE"""),"L-H-L")</f>
        <v>L-H-L</v>
      </c>
      <c r="E512" s="2" t="s">
        <v>10</v>
      </c>
    </row>
    <row r="513">
      <c r="A513" s="2" t="s">
        <v>1447</v>
      </c>
      <c r="B513" s="3" t="s">
        <v>1448</v>
      </c>
      <c r="C513" s="3" t="s">
        <v>1446</v>
      </c>
      <c r="D513" s="2" t="str">
        <f>IFERROR(__xludf.DUMMYFUNCTION("""COMPUTED_VALUE"""),"L-H-L")</f>
        <v>L-H-L</v>
      </c>
      <c r="E513" s="2" t="s">
        <v>10</v>
      </c>
    </row>
    <row r="514">
      <c r="A514" s="2" t="s">
        <v>1449</v>
      </c>
      <c r="B514" s="3" t="s">
        <v>1450</v>
      </c>
      <c r="C514" s="3" t="s">
        <v>1451</v>
      </c>
      <c r="D514" s="2" t="str">
        <f>IFERROR(__xludf.DUMMYFUNCTION("""COMPUTED_VALUE"""),"H-H")</f>
        <v>H-H</v>
      </c>
      <c r="E514" s="2" t="s">
        <v>10</v>
      </c>
    </row>
    <row r="515">
      <c r="A515" s="2" t="s">
        <v>1452</v>
      </c>
      <c r="B515" s="3" t="s">
        <v>1453</v>
      </c>
      <c r="C515" s="3" t="s">
        <v>1454</v>
      </c>
      <c r="D515" s="2" t="str">
        <f>IFERROR(__xludf.DUMMYFUNCTION("""COMPUTED_VALUE"""),"L-L-H")</f>
        <v>L-L-H</v>
      </c>
      <c r="E515" s="2" t="s">
        <v>10</v>
      </c>
    </row>
    <row r="516">
      <c r="A516" s="2" t="s">
        <v>1455</v>
      </c>
      <c r="B516" s="3" t="s">
        <v>1456</v>
      </c>
      <c r="C516" s="3" t="s">
        <v>1457</v>
      </c>
      <c r="D516" s="2" t="str">
        <f>IFERROR(__xludf.DUMMYFUNCTION("""COMPUTED_VALUE"""),"L-L-H")</f>
        <v>L-L-H</v>
      </c>
      <c r="E516" s="2" t="s">
        <v>10</v>
      </c>
    </row>
    <row r="517">
      <c r="A517" s="2" t="s">
        <v>1458</v>
      </c>
      <c r="B517" s="3" t="s">
        <v>1459</v>
      </c>
      <c r="C517" s="3" t="s">
        <v>1460</v>
      </c>
      <c r="D517" s="2" t="str">
        <f>IFERROR(__xludf.DUMMYFUNCTION("""COMPUTED_VALUE"""),"L-H-H")</f>
        <v>L-H-H</v>
      </c>
      <c r="E517" s="2" t="s">
        <v>10</v>
      </c>
    </row>
    <row r="518">
      <c r="A518" s="2" t="s">
        <v>1461</v>
      </c>
      <c r="B518" s="3" t="s">
        <v>1462</v>
      </c>
      <c r="C518" s="3" t="s">
        <v>1463</v>
      </c>
      <c r="D518" s="2" t="str">
        <f>IFERROR(__xludf.DUMMYFUNCTION("""COMPUTED_VALUE"""),"L-H-L-H")</f>
        <v>L-H-L-H</v>
      </c>
      <c r="E518" s="2" t="s">
        <v>10</v>
      </c>
    </row>
    <row r="519">
      <c r="A519" s="2" t="s">
        <v>1464</v>
      </c>
      <c r="B519" s="3" t="s">
        <v>1465</v>
      </c>
      <c r="C519" s="3" t="s">
        <v>1466</v>
      </c>
      <c r="D519" s="2" t="str">
        <f>IFERROR(__xludf.DUMMYFUNCTION("""COMPUTED_VALUE"""),"H-H")</f>
        <v>H-H</v>
      </c>
      <c r="E519" s="2" t="s">
        <v>10</v>
      </c>
    </row>
    <row r="520">
      <c r="A520" s="2" t="s">
        <v>1467</v>
      </c>
      <c r="B520" s="3" t="s">
        <v>1468</v>
      </c>
      <c r="C520" s="3" t="s">
        <v>1469</v>
      </c>
      <c r="D520" s="2" t="str">
        <f>IFERROR(__xludf.DUMMYFUNCTION("""COMPUTED_VALUE"""),"H-H")</f>
        <v>H-H</v>
      </c>
      <c r="E520" s="2" t="s">
        <v>10</v>
      </c>
    </row>
    <row r="521">
      <c r="A521" s="2" t="s">
        <v>1470</v>
      </c>
      <c r="B521" s="3" t="s">
        <v>1471</v>
      </c>
      <c r="C521" s="3" t="s">
        <v>1472</v>
      </c>
      <c r="D521" s="2" t="str">
        <f>IFERROR(__xludf.DUMMYFUNCTION("""COMPUTED_VALUE"""),"H-H")</f>
        <v>H-H</v>
      </c>
      <c r="E521" s="2" t="s">
        <v>10</v>
      </c>
    </row>
    <row r="522">
      <c r="A522" s="2" t="s">
        <v>1473</v>
      </c>
      <c r="B522" s="3" t="s">
        <v>1474</v>
      </c>
      <c r="C522" s="3" t="s">
        <v>1475</v>
      </c>
      <c r="D522" s="2" t="str">
        <f>IFERROR(__xludf.DUMMYFUNCTION("""COMPUTED_VALUE"""),"H-H-H-M")</f>
        <v>H-H-H-M</v>
      </c>
      <c r="E522" s="2" t="s">
        <v>10</v>
      </c>
    </row>
    <row r="523">
      <c r="A523" s="2" t="s">
        <v>1476</v>
      </c>
      <c r="B523" s="3" t="s">
        <v>1477</v>
      </c>
      <c r="C523" s="3" t="s">
        <v>1478</v>
      </c>
      <c r="D523" s="2" t="str">
        <f>IFERROR(__xludf.DUMMYFUNCTION("""COMPUTED_VALUE"""),"H-H-H-H-H-H")</f>
        <v>H-H-H-H-H-H</v>
      </c>
      <c r="E523" s="2" t="s">
        <v>10</v>
      </c>
    </row>
    <row r="524">
      <c r="A524" s="2" t="s">
        <v>1479</v>
      </c>
      <c r="B524" s="3" t="s">
        <v>1480</v>
      </c>
      <c r="C524" s="3" t="s">
        <v>1481</v>
      </c>
      <c r="D524" s="2" t="str">
        <f>IFERROR(__xludf.DUMMYFUNCTION("""COMPUTED_VALUE"""),"H-H-H-H-H")</f>
        <v>H-H-H-H-H</v>
      </c>
      <c r="E524" s="2" t="s">
        <v>10</v>
      </c>
    </row>
    <row r="525">
      <c r="A525" s="2" t="s">
        <v>1482</v>
      </c>
      <c r="B525" s="3" t="s">
        <v>1483</v>
      </c>
      <c r="C525" s="3" t="s">
        <v>1484</v>
      </c>
      <c r="D525" s="2" t="str">
        <f>IFERROR(__xludf.DUMMYFUNCTION("""COMPUTED_VALUE"""),"H-H-H-M")</f>
        <v>H-H-H-M</v>
      </c>
      <c r="E525" s="2" t="s">
        <v>10</v>
      </c>
    </row>
    <row r="526">
      <c r="A526" s="2" t="s">
        <v>1485</v>
      </c>
      <c r="B526" s="3" t="s">
        <v>1486</v>
      </c>
      <c r="C526" s="3" t="s">
        <v>1487</v>
      </c>
      <c r="D526" s="2" t="str">
        <f>IFERROR(__xludf.DUMMYFUNCTION("""COMPUTED_VALUE"""),"L-L-H")</f>
        <v>L-L-H</v>
      </c>
      <c r="E526" s="2" t="s">
        <v>10</v>
      </c>
    </row>
    <row r="527">
      <c r="A527" s="2" t="s">
        <v>1488</v>
      </c>
      <c r="B527" s="3" t="s">
        <v>1489</v>
      </c>
      <c r="C527" s="3" t="s">
        <v>1490</v>
      </c>
      <c r="D527" s="2" t="str">
        <f>IFERROR(__xludf.DUMMYFUNCTION("""COMPUTED_VALUE"""),"H-M")</f>
        <v>H-M</v>
      </c>
      <c r="E527" s="2" t="s">
        <v>10</v>
      </c>
    </row>
    <row r="528">
      <c r="A528" s="2" t="s">
        <v>1491</v>
      </c>
      <c r="B528" s="3" t="s">
        <v>1492</v>
      </c>
      <c r="C528" s="3" t="s">
        <v>1493</v>
      </c>
      <c r="D528" s="2" t="str">
        <f>IFERROR(__xludf.DUMMYFUNCTION("""COMPUTED_VALUE"""),"H-L")</f>
        <v>H-L</v>
      </c>
      <c r="E528" s="2" t="s">
        <v>10</v>
      </c>
    </row>
    <row r="529">
      <c r="A529" s="2" t="s">
        <v>1494</v>
      </c>
      <c r="B529" s="3" t="s">
        <v>1495</v>
      </c>
      <c r="C529" s="3" t="s">
        <v>1496</v>
      </c>
      <c r="D529" s="2" t="str">
        <f>IFERROR(__xludf.DUMMYFUNCTION("""COMPUTED_VALUE"""),"L-H-H-H")</f>
        <v>L-H-H-H</v>
      </c>
      <c r="E529" s="2" t="s">
        <v>10</v>
      </c>
    </row>
    <row r="530">
      <c r="A530" s="2" t="s">
        <v>1497</v>
      </c>
      <c r="B530" s="3" t="s">
        <v>1498</v>
      </c>
      <c r="C530" s="3" t="s">
        <v>1499</v>
      </c>
      <c r="D530" s="2" t="str">
        <f>IFERROR(__xludf.DUMMYFUNCTION("""COMPUTED_VALUE"""),"L-L-L")</f>
        <v>L-L-L</v>
      </c>
      <c r="E530" s="2" t="s">
        <v>10</v>
      </c>
    </row>
    <row r="531">
      <c r="A531" s="2" t="s">
        <v>1500</v>
      </c>
      <c r="B531" s="3" t="s">
        <v>1501</v>
      </c>
      <c r="C531" s="3" t="s">
        <v>1502</v>
      </c>
      <c r="D531" s="2" t="str">
        <f>IFERROR(__xludf.DUMMYFUNCTION("""COMPUTED_VALUE"""),"H-H-H")</f>
        <v>H-H-H</v>
      </c>
      <c r="E531" s="2" t="s">
        <v>10</v>
      </c>
    </row>
    <row r="532">
      <c r="A532" s="2" t="s">
        <v>1503</v>
      </c>
      <c r="B532" s="3" t="s">
        <v>1504</v>
      </c>
      <c r="C532" s="3" t="s">
        <v>1505</v>
      </c>
      <c r="D532" s="2" t="str">
        <f>IFERROR(__xludf.DUMMYFUNCTION("""COMPUTED_VALUE"""),"L-L-L")</f>
        <v>L-L-L</v>
      </c>
      <c r="E532" s="2" t="s">
        <v>10</v>
      </c>
    </row>
    <row r="533">
      <c r="A533" s="2" t="s">
        <v>1506</v>
      </c>
      <c r="B533" s="3" t="s">
        <v>1507</v>
      </c>
      <c r="C533" s="3" t="s">
        <v>1508</v>
      </c>
      <c r="D533" s="2" t="str">
        <f>IFERROR(__xludf.DUMMYFUNCTION("""COMPUTED_VALUE"""),"H-H")</f>
        <v>H-H</v>
      </c>
      <c r="E533" s="2" t="s">
        <v>10</v>
      </c>
    </row>
    <row r="534">
      <c r="A534" s="2" t="s">
        <v>1509</v>
      </c>
      <c r="B534" s="3" t="s">
        <v>1510</v>
      </c>
      <c r="C534" s="3" t="s">
        <v>1378</v>
      </c>
      <c r="D534" s="2" t="str">
        <f>IFERROR(__xludf.DUMMYFUNCTION("""COMPUTED_VALUE"""),"H-L")</f>
        <v>H-L</v>
      </c>
      <c r="E534" s="2" t="s">
        <v>10</v>
      </c>
    </row>
    <row r="535">
      <c r="A535" s="2" t="s">
        <v>1511</v>
      </c>
      <c r="B535" s="3" t="s">
        <v>1512</v>
      </c>
      <c r="C535" s="3" t="s">
        <v>1513</v>
      </c>
      <c r="D535" s="2" t="str">
        <f>IFERROR(__xludf.DUMMYFUNCTION("""COMPUTED_VALUE"""),"L-L")</f>
        <v>L-L</v>
      </c>
      <c r="E535" s="2" t="s">
        <v>10</v>
      </c>
    </row>
    <row r="536">
      <c r="A536" s="2" t="s">
        <v>1514</v>
      </c>
      <c r="B536" s="3" t="s">
        <v>1515</v>
      </c>
      <c r="C536" s="3" t="s">
        <v>1516</v>
      </c>
      <c r="D536" s="2" t="str">
        <f>IFERROR(__xludf.DUMMYFUNCTION("""COMPUTED_VALUE"""),"H-L-L")</f>
        <v>H-L-L</v>
      </c>
      <c r="E536" s="2" t="s">
        <v>10</v>
      </c>
    </row>
    <row r="537">
      <c r="A537" s="2" t="s">
        <v>1517</v>
      </c>
      <c r="B537" s="3" t="s">
        <v>1518</v>
      </c>
      <c r="C537" s="3" t="s">
        <v>1519</v>
      </c>
      <c r="D537" s="2" t="str">
        <f>IFERROR(__xludf.DUMMYFUNCTION("""COMPUTED_VALUE"""),"L-L-H")</f>
        <v>L-L-H</v>
      </c>
      <c r="E537" s="2" t="s">
        <v>10</v>
      </c>
    </row>
    <row r="538">
      <c r="A538" s="2" t="s">
        <v>1520</v>
      </c>
      <c r="B538" s="3" t="s">
        <v>1521</v>
      </c>
      <c r="C538" s="3" t="s">
        <v>468</v>
      </c>
      <c r="D538" s="2" t="str">
        <f>IFERROR(__xludf.DUMMYFUNCTION("""COMPUTED_VALUE"""),"L-H")</f>
        <v>L-H</v>
      </c>
      <c r="E538" s="2" t="s">
        <v>10</v>
      </c>
    </row>
    <row r="539">
      <c r="A539" s="2" t="s">
        <v>1522</v>
      </c>
      <c r="B539" s="3" t="s">
        <v>1523</v>
      </c>
      <c r="C539" s="3" t="s">
        <v>1524</v>
      </c>
      <c r="D539" s="2" t="str">
        <f>IFERROR(__xludf.DUMMYFUNCTION("""COMPUTED_VALUE"""),"H-M")</f>
        <v>H-M</v>
      </c>
      <c r="E539" s="2" t="s">
        <v>10</v>
      </c>
    </row>
    <row r="540">
      <c r="A540" s="2" t="s">
        <v>1525</v>
      </c>
      <c r="B540" s="3" t="s">
        <v>1526</v>
      </c>
      <c r="C540" s="3" t="s">
        <v>248</v>
      </c>
      <c r="D540" s="2" t="str">
        <f>IFERROR(__xludf.DUMMYFUNCTION("""COMPUTED_VALUE"""),"L-L-H")</f>
        <v>L-L-H</v>
      </c>
      <c r="E540" s="2" t="s">
        <v>10</v>
      </c>
    </row>
    <row r="541">
      <c r="A541" s="2" t="s">
        <v>1527</v>
      </c>
      <c r="B541" s="3" t="s">
        <v>1528</v>
      </c>
      <c r="C541" s="3" t="s">
        <v>1529</v>
      </c>
      <c r="D541" s="2" t="str">
        <f>IFERROR(__xludf.DUMMYFUNCTION("""COMPUTED_VALUE"""),"H-H")</f>
        <v>H-H</v>
      </c>
      <c r="E541" s="2" t="s">
        <v>10</v>
      </c>
    </row>
    <row r="542">
      <c r="A542" s="2" t="s">
        <v>1530</v>
      </c>
      <c r="B542" s="3" t="s">
        <v>1531</v>
      </c>
      <c r="C542" s="3" t="s">
        <v>1532</v>
      </c>
      <c r="D542" s="2" t="str">
        <f>IFERROR(__xludf.DUMMYFUNCTION("""COMPUTED_VALUE"""),"H-H")</f>
        <v>H-H</v>
      </c>
      <c r="E542" s="2" t="s">
        <v>10</v>
      </c>
    </row>
    <row r="543">
      <c r="A543" s="2" t="s">
        <v>1533</v>
      </c>
      <c r="B543" s="3" t="s">
        <v>1534</v>
      </c>
      <c r="C543" s="3" t="s">
        <v>1535</v>
      </c>
      <c r="D543" s="2" t="str">
        <f>IFERROR(__xludf.DUMMYFUNCTION("""COMPUTED_VALUE"""),"L-L-L")</f>
        <v>L-L-L</v>
      </c>
      <c r="E543" s="2" t="s">
        <v>10</v>
      </c>
    </row>
    <row r="544">
      <c r="A544" s="2" t="s">
        <v>1536</v>
      </c>
      <c r="B544" s="3" t="s">
        <v>1537</v>
      </c>
      <c r="C544" s="3" t="s">
        <v>1538</v>
      </c>
      <c r="D544" s="2" t="str">
        <f>IFERROR(__xludf.DUMMYFUNCTION("""COMPUTED_VALUE"""),"L-H-H")</f>
        <v>L-H-H</v>
      </c>
      <c r="E544" s="2" t="s">
        <v>10</v>
      </c>
    </row>
    <row r="545">
      <c r="A545" s="2" t="s">
        <v>1539</v>
      </c>
      <c r="B545" s="3" t="s">
        <v>1540</v>
      </c>
      <c r="C545" s="3" t="s">
        <v>1541</v>
      </c>
      <c r="D545" s="2" t="str">
        <f>IFERROR(__xludf.DUMMYFUNCTION("""COMPUTED_VALUE"""),"L-H")</f>
        <v>L-H</v>
      </c>
      <c r="E545" s="2" t="s">
        <v>10</v>
      </c>
    </row>
    <row r="546">
      <c r="A546" s="2" t="s">
        <v>1542</v>
      </c>
      <c r="B546" s="3" t="s">
        <v>1543</v>
      </c>
      <c r="C546" s="3" t="s">
        <v>1544</v>
      </c>
      <c r="D546" s="2" t="str">
        <f>IFERROR(__xludf.DUMMYFUNCTION("""COMPUTED_VALUE"""),"L-H-H")</f>
        <v>L-H-H</v>
      </c>
      <c r="E546" s="2" t="s">
        <v>10</v>
      </c>
    </row>
    <row r="547">
      <c r="A547" s="2" t="s">
        <v>1545</v>
      </c>
      <c r="B547" s="3" t="s">
        <v>1546</v>
      </c>
      <c r="C547" s="3" t="s">
        <v>1547</v>
      </c>
      <c r="D547" s="2" t="str">
        <f>IFERROR(__xludf.DUMMYFUNCTION("""COMPUTED_VALUE"""),"H-L")</f>
        <v>H-L</v>
      </c>
      <c r="E547" s="2" t="s">
        <v>10</v>
      </c>
    </row>
    <row r="548">
      <c r="A548" s="2" t="s">
        <v>1548</v>
      </c>
      <c r="B548" s="3" t="s">
        <v>1549</v>
      </c>
      <c r="C548" s="3" t="s">
        <v>1550</v>
      </c>
      <c r="D548" s="2" t="str">
        <f>IFERROR(__xludf.DUMMYFUNCTION("""COMPUTED_VALUE"""),"H-H")</f>
        <v>H-H</v>
      </c>
      <c r="E548" s="2" t="s">
        <v>10</v>
      </c>
    </row>
    <row r="549">
      <c r="A549" s="2" t="s">
        <v>1551</v>
      </c>
      <c r="B549" s="3" t="s">
        <v>1552</v>
      </c>
      <c r="C549" s="3" t="s">
        <v>1553</v>
      </c>
      <c r="D549" s="2" t="str">
        <f>IFERROR(__xludf.DUMMYFUNCTION("""COMPUTED_VALUE"""),"L-H")</f>
        <v>L-H</v>
      </c>
      <c r="E549" s="2" t="s">
        <v>10</v>
      </c>
    </row>
    <row r="550">
      <c r="A550" s="2" t="s">
        <v>1554</v>
      </c>
      <c r="B550" s="3" t="s">
        <v>1555</v>
      </c>
      <c r="C550" s="3" t="s">
        <v>1556</v>
      </c>
      <c r="D550" s="2" t="str">
        <f>IFERROR(__xludf.DUMMYFUNCTION("""COMPUTED_VALUE"""),"L-H-H")</f>
        <v>L-H-H</v>
      </c>
      <c r="E550" s="2" t="s">
        <v>10</v>
      </c>
    </row>
    <row r="551">
      <c r="A551" s="2" t="s">
        <v>1557</v>
      </c>
      <c r="B551" s="3" t="s">
        <v>1558</v>
      </c>
      <c r="C551" s="3" t="s">
        <v>1559</v>
      </c>
      <c r="D551" s="2" t="str">
        <f>IFERROR(__xludf.DUMMYFUNCTION("""COMPUTED_VALUE"""),"H-H-M")</f>
        <v>H-H-M</v>
      </c>
      <c r="E551" s="2" t="s">
        <v>10</v>
      </c>
    </row>
    <row r="552">
      <c r="A552" s="2" t="s">
        <v>1560</v>
      </c>
      <c r="B552" s="3" t="s">
        <v>1561</v>
      </c>
      <c r="C552" s="3" t="s">
        <v>1562</v>
      </c>
      <c r="D552" s="2" t="str">
        <f>IFERROR(__xludf.DUMMYFUNCTION("""COMPUTED_VALUE"""),"L-L-H-H")</f>
        <v>L-L-H-H</v>
      </c>
      <c r="E552" s="2" t="s">
        <v>10</v>
      </c>
    </row>
    <row r="553">
      <c r="A553" s="2" t="s">
        <v>1563</v>
      </c>
      <c r="B553" s="3" t="s">
        <v>1564</v>
      </c>
      <c r="C553" s="3" t="s">
        <v>1565</v>
      </c>
      <c r="D553" s="2" t="str">
        <f>IFERROR(__xludf.DUMMYFUNCTION("""COMPUTED_VALUE"""),"H-L")</f>
        <v>H-L</v>
      </c>
      <c r="E553" s="2" t="s">
        <v>10</v>
      </c>
    </row>
    <row r="554">
      <c r="A554" s="2" t="s">
        <v>1566</v>
      </c>
      <c r="B554" s="3" t="s">
        <v>1567</v>
      </c>
      <c r="C554" s="3" t="s">
        <v>1568</v>
      </c>
      <c r="D554" s="2" t="str">
        <f>IFERROR(__xludf.DUMMYFUNCTION("""COMPUTED_VALUE"""),"L-L")</f>
        <v>L-L</v>
      </c>
      <c r="E554" s="2" t="s">
        <v>10</v>
      </c>
    </row>
    <row r="555">
      <c r="A555" s="2" t="s">
        <v>1569</v>
      </c>
      <c r="B555" s="3" t="s">
        <v>1570</v>
      </c>
      <c r="C555" s="3" t="s">
        <v>1571</v>
      </c>
      <c r="D555" s="2" t="str">
        <f>IFERROR(__xludf.DUMMYFUNCTION("""COMPUTED_VALUE"""),"H-L")</f>
        <v>H-L</v>
      </c>
      <c r="E555" s="2" t="s">
        <v>10</v>
      </c>
    </row>
    <row r="556">
      <c r="A556" s="2" t="s">
        <v>1572</v>
      </c>
      <c r="B556" s="3" t="s">
        <v>1573</v>
      </c>
      <c r="C556" s="3" t="s">
        <v>1574</v>
      </c>
      <c r="D556" s="2" t="str">
        <f>IFERROR(__xludf.DUMMYFUNCTION("""COMPUTED_VALUE"""),"H-M")</f>
        <v>H-M</v>
      </c>
      <c r="E556" s="2" t="s">
        <v>10</v>
      </c>
    </row>
    <row r="557">
      <c r="A557" s="2" t="s">
        <v>1575</v>
      </c>
      <c r="B557" s="3" t="s">
        <v>1576</v>
      </c>
      <c r="C557" s="3" t="s">
        <v>1577</v>
      </c>
      <c r="D557" s="2" t="str">
        <f>IFERROR(__xludf.DUMMYFUNCTION("""COMPUTED_VALUE"""),"L-L")</f>
        <v>L-L</v>
      </c>
      <c r="E557" s="2" t="s">
        <v>10</v>
      </c>
    </row>
    <row r="558">
      <c r="A558" s="2" t="s">
        <v>1578</v>
      </c>
      <c r="B558" s="4" t="s">
        <v>1579</v>
      </c>
      <c r="C558" s="3" t="s">
        <v>1580</v>
      </c>
      <c r="D558" s="2" t="str">
        <f>IFERROR(__xludf.DUMMYFUNCTION("""COMPUTED_VALUE"""),"L-H")</f>
        <v>L-H</v>
      </c>
      <c r="E558" s="2" t="s">
        <v>10</v>
      </c>
    </row>
    <row r="559">
      <c r="A559" s="2" t="s">
        <v>1581</v>
      </c>
      <c r="B559" s="4" t="s">
        <v>1579</v>
      </c>
      <c r="C559" s="3" t="s">
        <v>1582</v>
      </c>
      <c r="D559" s="2" t="str">
        <f>IFERROR(__xludf.DUMMYFUNCTION("""COMPUTED_VALUE"""),"L-H")</f>
        <v>L-H</v>
      </c>
      <c r="E559" s="2" t="s">
        <v>10</v>
      </c>
    </row>
    <row r="560">
      <c r="A560" s="2" t="s">
        <v>1583</v>
      </c>
      <c r="B560" s="3" t="s">
        <v>1584</v>
      </c>
      <c r="C560" s="3" t="s">
        <v>1585</v>
      </c>
      <c r="D560" s="2" t="str">
        <f>IFERROR(__xludf.DUMMYFUNCTION("""COMPUTED_VALUE"""),"H-L")</f>
        <v>H-L</v>
      </c>
      <c r="E560" s="2" t="s">
        <v>10</v>
      </c>
    </row>
    <row r="561">
      <c r="A561" s="2" t="s">
        <v>1586</v>
      </c>
      <c r="B561" s="3" t="s">
        <v>1587</v>
      </c>
      <c r="C561" s="3" t="s">
        <v>1559</v>
      </c>
      <c r="D561" s="2" t="str">
        <f>IFERROR(__xludf.DUMMYFUNCTION("""COMPUTED_VALUE"""),"H-H-M")</f>
        <v>H-H-M</v>
      </c>
      <c r="E561" s="2" t="s">
        <v>10</v>
      </c>
    </row>
    <row r="562">
      <c r="A562" s="2" t="s">
        <v>1588</v>
      </c>
      <c r="B562" s="3" t="s">
        <v>1589</v>
      </c>
      <c r="C562" s="3" t="s">
        <v>1590</v>
      </c>
      <c r="D562" s="2" t="str">
        <f>IFERROR(__xludf.DUMMYFUNCTION("""COMPUTED_VALUE"""),"L-L")</f>
        <v>L-L</v>
      </c>
      <c r="E562" s="2" t="s">
        <v>10</v>
      </c>
    </row>
    <row r="563">
      <c r="A563" s="2" t="s">
        <v>1591</v>
      </c>
      <c r="B563" s="3" t="s">
        <v>1592</v>
      </c>
      <c r="C563" s="3" t="s">
        <v>1593</v>
      </c>
      <c r="D563" s="2" t="str">
        <f>IFERROR(__xludf.DUMMYFUNCTION("""COMPUTED_VALUE"""),"H-H")</f>
        <v>H-H</v>
      </c>
      <c r="E563" s="2" t="s">
        <v>10</v>
      </c>
    </row>
    <row r="564">
      <c r="A564" s="2" t="s">
        <v>1594</v>
      </c>
      <c r="B564" s="3" t="s">
        <v>1595</v>
      </c>
      <c r="C564" s="3" t="s">
        <v>1593</v>
      </c>
      <c r="D564" s="2" t="str">
        <f>IFERROR(__xludf.DUMMYFUNCTION("""COMPUTED_VALUE"""),"H-M")</f>
        <v>H-M</v>
      </c>
      <c r="E564" s="2" t="s">
        <v>10</v>
      </c>
    </row>
    <row r="565">
      <c r="A565" s="2" t="s">
        <v>1596</v>
      </c>
      <c r="B565" s="3" t="s">
        <v>1597</v>
      </c>
      <c r="C565" s="3" t="s">
        <v>1598</v>
      </c>
      <c r="D565" s="2" t="str">
        <f>IFERROR(__xludf.DUMMYFUNCTION("""COMPUTED_VALUE"""),"H-H-M")</f>
        <v>H-H-M</v>
      </c>
      <c r="E565" s="2" t="s">
        <v>10</v>
      </c>
    </row>
    <row r="566">
      <c r="A566" s="2" t="s">
        <v>1599</v>
      </c>
      <c r="B566" s="3" t="s">
        <v>1600</v>
      </c>
      <c r="C566" s="3" t="s">
        <v>1601</v>
      </c>
      <c r="D566" s="2" t="str">
        <f>IFERROR(__xludf.DUMMYFUNCTION("""COMPUTED_VALUE"""),"H-L")</f>
        <v>H-L</v>
      </c>
      <c r="E566" s="2" t="s">
        <v>10</v>
      </c>
    </row>
    <row r="567">
      <c r="A567" s="2" t="s">
        <v>1602</v>
      </c>
      <c r="B567" s="3" t="s">
        <v>1603</v>
      </c>
      <c r="C567" s="3" t="s">
        <v>1604</v>
      </c>
      <c r="D567" s="2" t="str">
        <f>IFERROR(__xludf.DUMMYFUNCTION("""COMPUTED_VALUE"""),"H-H")</f>
        <v>H-H</v>
      </c>
      <c r="E567" s="2" t="s">
        <v>10</v>
      </c>
    </row>
    <row r="568">
      <c r="A568" s="2" t="s">
        <v>1605</v>
      </c>
      <c r="B568" s="3" t="s">
        <v>1606</v>
      </c>
      <c r="C568" s="3" t="s">
        <v>1607</v>
      </c>
      <c r="D568" s="2" t="str">
        <f>IFERROR(__xludf.DUMMYFUNCTION("""COMPUTED_VALUE"""),"L-H-L")</f>
        <v>L-H-L</v>
      </c>
      <c r="E568" s="2" t="s">
        <v>10</v>
      </c>
    </row>
    <row r="569">
      <c r="A569" s="2" t="s">
        <v>1608</v>
      </c>
      <c r="B569" s="3" t="s">
        <v>1609</v>
      </c>
      <c r="C569" s="3" t="s">
        <v>1610</v>
      </c>
      <c r="D569" s="2" t="str">
        <f>IFERROR(__xludf.DUMMYFUNCTION("""COMPUTED_VALUE"""),"H-L")</f>
        <v>H-L</v>
      </c>
      <c r="E569" s="2" t="s">
        <v>10</v>
      </c>
    </row>
    <row r="570">
      <c r="A570" s="2" t="s">
        <v>1611</v>
      </c>
      <c r="B570" s="3" t="s">
        <v>1612</v>
      </c>
      <c r="C570" s="3" t="s">
        <v>1613</v>
      </c>
      <c r="D570" s="2" t="str">
        <f>IFERROR(__xludf.DUMMYFUNCTION("""COMPUTED_VALUE"""),"H-H-H")</f>
        <v>H-H-H</v>
      </c>
      <c r="E570" s="2" t="s">
        <v>10</v>
      </c>
    </row>
    <row r="571">
      <c r="A571" s="2" t="s">
        <v>1614</v>
      </c>
      <c r="B571" s="3" t="s">
        <v>1615</v>
      </c>
      <c r="C571" s="3" t="s">
        <v>1616</v>
      </c>
      <c r="D571" s="2" t="str">
        <f>IFERROR(__xludf.DUMMYFUNCTION("""COMPUTED_VALUE"""),"H-H-L")</f>
        <v>H-H-L</v>
      </c>
      <c r="E571" s="2" t="s">
        <v>10</v>
      </c>
    </row>
    <row r="572">
      <c r="A572" s="2" t="s">
        <v>1617</v>
      </c>
      <c r="B572" s="3" t="s">
        <v>1618</v>
      </c>
      <c r="C572" s="3" t="s">
        <v>1619</v>
      </c>
      <c r="D572" s="2" t="str">
        <f>IFERROR(__xludf.DUMMYFUNCTION("""COMPUTED_VALUE"""),"L-L")</f>
        <v>L-L</v>
      </c>
      <c r="E572" s="2" t="s">
        <v>10</v>
      </c>
    </row>
    <row r="573">
      <c r="A573" s="2" t="s">
        <v>1620</v>
      </c>
      <c r="B573" s="3" t="s">
        <v>1621</v>
      </c>
      <c r="C573" s="3" t="s">
        <v>1622</v>
      </c>
      <c r="D573" s="2" t="str">
        <f>IFERROR(__xludf.DUMMYFUNCTION("""COMPUTED_VALUE"""),"L-L-H")</f>
        <v>L-L-H</v>
      </c>
      <c r="E573" s="2" t="s">
        <v>10</v>
      </c>
    </row>
    <row r="574">
      <c r="A574" s="2" t="s">
        <v>1623</v>
      </c>
      <c r="B574" s="3" t="s">
        <v>1624</v>
      </c>
      <c r="C574" s="3" t="s">
        <v>1625</v>
      </c>
      <c r="D574" s="2" t="str">
        <f>IFERROR(__xludf.DUMMYFUNCTION("""COMPUTED_VALUE"""),"H-H")</f>
        <v>H-H</v>
      </c>
      <c r="E574" s="2" t="s">
        <v>10</v>
      </c>
    </row>
    <row r="575">
      <c r="A575" s="2" t="s">
        <v>1626</v>
      </c>
      <c r="B575" s="3" t="s">
        <v>1627</v>
      </c>
      <c r="C575" s="3" t="s">
        <v>1628</v>
      </c>
      <c r="D575" s="2" t="str">
        <f>IFERROR(__xludf.DUMMYFUNCTION("""COMPUTED_VALUE"""),"H-H")</f>
        <v>H-H</v>
      </c>
      <c r="E575" s="2" t="s">
        <v>10</v>
      </c>
    </row>
    <row r="576">
      <c r="A576" s="2" t="s">
        <v>1629</v>
      </c>
      <c r="B576" s="3" t="s">
        <v>1630</v>
      </c>
      <c r="C576" s="3" t="s">
        <v>1631</v>
      </c>
      <c r="D576" s="2" t="str">
        <f>IFERROR(__xludf.DUMMYFUNCTION("""COMPUTED_VALUE"""),"H-L-L")</f>
        <v>H-L-L</v>
      </c>
      <c r="E576" s="2" t="s">
        <v>10</v>
      </c>
    </row>
    <row r="577">
      <c r="A577" s="2" t="s">
        <v>1632</v>
      </c>
      <c r="B577" s="3" t="s">
        <v>1633</v>
      </c>
      <c r="C577" s="3" t="s">
        <v>1634</v>
      </c>
      <c r="D577" s="2" t="str">
        <f>IFERROR(__xludf.DUMMYFUNCTION("""COMPUTED_VALUE"""),"H-M")</f>
        <v>H-M</v>
      </c>
      <c r="E577" s="2" t="s">
        <v>10</v>
      </c>
    </row>
    <row r="578">
      <c r="A578" s="2" t="s">
        <v>1635</v>
      </c>
      <c r="B578" s="3" t="s">
        <v>1636</v>
      </c>
      <c r="C578" s="3" t="s">
        <v>1637</v>
      </c>
      <c r="D578" s="2" t="str">
        <f>IFERROR(__xludf.DUMMYFUNCTION("""COMPUTED_VALUE"""),"H-H-H-M")</f>
        <v>H-H-H-M</v>
      </c>
      <c r="E578" s="2" t="s">
        <v>10</v>
      </c>
    </row>
    <row r="579">
      <c r="A579" s="2" t="s">
        <v>1638</v>
      </c>
      <c r="B579" s="3" t="s">
        <v>1639</v>
      </c>
      <c r="C579" s="3" t="s">
        <v>151</v>
      </c>
      <c r="D579" s="2" t="str">
        <f>IFERROR(__xludf.DUMMYFUNCTION("""COMPUTED_VALUE"""),"H-L")</f>
        <v>H-L</v>
      </c>
      <c r="E579" s="2" t="s">
        <v>10</v>
      </c>
    </row>
    <row r="580">
      <c r="A580" s="2" t="s">
        <v>1640</v>
      </c>
      <c r="B580" s="3" t="s">
        <v>1641</v>
      </c>
      <c r="C580" s="3" t="s">
        <v>1642</v>
      </c>
      <c r="D580" s="2" t="str">
        <f>IFERROR(__xludf.DUMMYFUNCTION("""COMPUTED_VALUE"""),"H-H")</f>
        <v>H-H</v>
      </c>
      <c r="E580" s="2" t="s">
        <v>10</v>
      </c>
    </row>
    <row r="581">
      <c r="A581" s="2" t="s">
        <v>1643</v>
      </c>
      <c r="B581" s="3" t="s">
        <v>1644</v>
      </c>
      <c r="C581" s="3" t="s">
        <v>1645</v>
      </c>
      <c r="D581" s="2" t="str">
        <f>IFERROR(__xludf.DUMMYFUNCTION("""COMPUTED_VALUE"""),"H-H")</f>
        <v>H-H</v>
      </c>
      <c r="E581" s="2" t="s">
        <v>10</v>
      </c>
    </row>
    <row r="582">
      <c r="A582" s="2" t="s">
        <v>1646</v>
      </c>
      <c r="B582" s="3" t="s">
        <v>1647</v>
      </c>
      <c r="C582" s="3" t="s">
        <v>1648</v>
      </c>
      <c r="D582" s="2" t="str">
        <f>IFERROR(__xludf.DUMMYFUNCTION("""COMPUTED_VALUE"""),"H-L")</f>
        <v>H-L</v>
      </c>
      <c r="E582" s="2" t="s">
        <v>10</v>
      </c>
    </row>
    <row r="583">
      <c r="A583" s="2" t="s">
        <v>1649</v>
      </c>
      <c r="B583" s="3" t="s">
        <v>1650</v>
      </c>
      <c r="C583" s="3" t="s">
        <v>1651</v>
      </c>
      <c r="D583" s="2" t="str">
        <f>IFERROR(__xludf.DUMMYFUNCTION("""COMPUTED_VALUE"""),"L-L")</f>
        <v>L-L</v>
      </c>
      <c r="E583" s="2" t="s">
        <v>10</v>
      </c>
    </row>
    <row r="584">
      <c r="A584" s="2" t="s">
        <v>1652</v>
      </c>
      <c r="B584" s="3" t="s">
        <v>1653</v>
      </c>
      <c r="C584" s="3" t="s">
        <v>1654</v>
      </c>
      <c r="D584" s="2" t="str">
        <f>IFERROR(__xludf.DUMMYFUNCTION("""COMPUTED_VALUE"""),"H-L")</f>
        <v>H-L</v>
      </c>
      <c r="E584" s="2" t="s">
        <v>10</v>
      </c>
    </row>
    <row r="585">
      <c r="A585" s="2" t="s">
        <v>1655</v>
      </c>
      <c r="B585" s="3" t="s">
        <v>1656</v>
      </c>
      <c r="C585" s="3" t="s">
        <v>1657</v>
      </c>
      <c r="D585" s="2" t="str">
        <f>IFERROR(__xludf.DUMMYFUNCTION("""COMPUTED_VALUE"""),"H-H-M-M")</f>
        <v>H-H-M-M</v>
      </c>
      <c r="E585" s="2" t="s">
        <v>10</v>
      </c>
    </row>
    <row r="586">
      <c r="A586" s="2" t="s">
        <v>1658</v>
      </c>
      <c r="B586" s="3" t="s">
        <v>1659</v>
      </c>
      <c r="C586" s="3" t="s">
        <v>1660</v>
      </c>
      <c r="D586" s="2" t="str">
        <f>IFERROR(__xludf.DUMMYFUNCTION("""COMPUTED_VALUE"""),"H-H")</f>
        <v>H-H</v>
      </c>
      <c r="E586" s="2" t="s">
        <v>10</v>
      </c>
    </row>
    <row r="587">
      <c r="A587" s="2" t="s">
        <v>1661</v>
      </c>
      <c r="B587" s="3" t="s">
        <v>1662</v>
      </c>
      <c r="C587" s="3" t="s">
        <v>1663</v>
      </c>
      <c r="D587" s="2" t="str">
        <f>IFERROR(__xludf.DUMMYFUNCTION("""COMPUTED_VALUE"""),"L-H")</f>
        <v>L-H</v>
      </c>
      <c r="E587" s="2" t="s">
        <v>10</v>
      </c>
    </row>
    <row r="588">
      <c r="A588" s="2" t="s">
        <v>1664</v>
      </c>
      <c r="B588" s="3" t="s">
        <v>1665</v>
      </c>
      <c r="C588" s="3" t="s">
        <v>1666</v>
      </c>
      <c r="D588" s="2" t="str">
        <f>IFERROR(__xludf.DUMMYFUNCTION("""COMPUTED_VALUE"""),"L-L-L-H-H")</f>
        <v>L-L-L-H-H</v>
      </c>
      <c r="E588" s="2" t="s">
        <v>10</v>
      </c>
    </row>
    <row r="589">
      <c r="A589" s="2" t="s">
        <v>1667</v>
      </c>
      <c r="B589" s="3" t="s">
        <v>1668</v>
      </c>
      <c r="C589" s="3" t="s">
        <v>1669</v>
      </c>
      <c r="D589" s="2" t="str">
        <f>IFERROR(__xludf.DUMMYFUNCTION("""COMPUTED_VALUE"""),"L-H-H")</f>
        <v>L-H-H</v>
      </c>
      <c r="E589" s="2" t="s">
        <v>10</v>
      </c>
    </row>
    <row r="590">
      <c r="A590" s="2" t="s">
        <v>1670</v>
      </c>
      <c r="B590" s="3" t="s">
        <v>1671</v>
      </c>
      <c r="C590" s="3" t="s">
        <v>1654</v>
      </c>
      <c r="D590" s="2" t="str">
        <f>IFERROR(__xludf.DUMMYFUNCTION("""COMPUTED_VALUE"""),"H-L")</f>
        <v>H-L</v>
      </c>
      <c r="E590" s="2" t="s">
        <v>10</v>
      </c>
    </row>
    <row r="591">
      <c r="A591" s="2" t="s">
        <v>1672</v>
      </c>
      <c r="B591" s="3" t="s">
        <v>1673</v>
      </c>
      <c r="C591" s="3" t="s">
        <v>462</v>
      </c>
      <c r="D591" s="2" t="str">
        <f>IFERROR(__xludf.DUMMYFUNCTION("""COMPUTED_VALUE"""),"L-L")</f>
        <v>L-L</v>
      </c>
      <c r="E591" s="2" t="s">
        <v>10</v>
      </c>
    </row>
    <row r="592">
      <c r="A592" s="2" t="s">
        <v>1674</v>
      </c>
      <c r="B592" s="3" t="s">
        <v>1675</v>
      </c>
      <c r="C592" s="3" t="s">
        <v>465</v>
      </c>
      <c r="D592" s="2" t="str">
        <f>IFERROR(__xludf.DUMMYFUNCTION("""COMPUTED_VALUE"""),"L-L-H-L-L")</f>
        <v>L-L-H-L-L</v>
      </c>
      <c r="E592" s="2" t="s">
        <v>10</v>
      </c>
    </row>
    <row r="593">
      <c r="A593" s="2" t="s">
        <v>1676</v>
      </c>
      <c r="B593" s="3" t="s">
        <v>1677</v>
      </c>
      <c r="C593" s="3" t="s">
        <v>1678</v>
      </c>
      <c r="D593" s="2" t="str">
        <f>IFERROR(__xludf.DUMMYFUNCTION("""COMPUTED_VALUE"""),"L-H")</f>
        <v>L-H</v>
      </c>
      <c r="E593" s="2" t="s">
        <v>10</v>
      </c>
    </row>
    <row r="594">
      <c r="A594" s="2" t="s">
        <v>1679</v>
      </c>
      <c r="B594" s="3" t="s">
        <v>1680</v>
      </c>
      <c r="C594" s="3" t="s">
        <v>1266</v>
      </c>
      <c r="D594" s="2" t="str">
        <f>IFERROR(__xludf.DUMMYFUNCTION("""COMPUTED_VALUE"""),"H-L-H")</f>
        <v>H-L-H</v>
      </c>
      <c r="E594" s="2" t="s">
        <v>10</v>
      </c>
    </row>
    <row r="595">
      <c r="A595" s="2" t="s">
        <v>1681</v>
      </c>
      <c r="B595" s="3" t="s">
        <v>1682</v>
      </c>
      <c r="C595" s="3" t="s">
        <v>643</v>
      </c>
      <c r="D595" s="2" t="str">
        <f>IFERROR(__xludf.DUMMYFUNCTION("""COMPUTED_VALUE"""),"L")</f>
        <v>L</v>
      </c>
      <c r="E595" s="2" t="s">
        <v>10</v>
      </c>
    </row>
    <row r="596">
      <c r="A596" s="2" t="s">
        <v>1683</v>
      </c>
      <c r="B596" s="3" t="s">
        <v>1684</v>
      </c>
      <c r="C596" s="3" t="s">
        <v>1685</v>
      </c>
      <c r="D596" s="2" t="str">
        <f>IFERROR(__xludf.DUMMYFUNCTION("""COMPUTED_VALUE"""),"L-H-H")</f>
        <v>L-H-H</v>
      </c>
      <c r="E596" s="2" t="s">
        <v>10</v>
      </c>
    </row>
    <row r="597">
      <c r="A597" s="2" t="s">
        <v>1686</v>
      </c>
      <c r="B597" s="3" t="s">
        <v>1687</v>
      </c>
      <c r="C597" s="3" t="s">
        <v>534</v>
      </c>
      <c r="D597" s="2" t="str">
        <f>IFERROR(__xludf.DUMMYFUNCTION("""COMPUTED_VALUE"""),"L-L")</f>
        <v>L-L</v>
      </c>
      <c r="E597" s="2" t="s">
        <v>10</v>
      </c>
    </row>
    <row r="598">
      <c r="A598" s="2" t="s">
        <v>1688</v>
      </c>
      <c r="B598" s="3" t="s">
        <v>1689</v>
      </c>
      <c r="C598" s="3" t="s">
        <v>1690</v>
      </c>
      <c r="D598" s="2" t="str">
        <f>IFERROR(__xludf.DUMMYFUNCTION("""COMPUTED_VALUE"""),"H")</f>
        <v>H</v>
      </c>
      <c r="E598" s="2" t="s">
        <v>10</v>
      </c>
    </row>
    <row r="599">
      <c r="A599" s="2" t="s">
        <v>1691</v>
      </c>
      <c r="B599" s="3" t="s">
        <v>1692</v>
      </c>
      <c r="C599" s="3" t="s">
        <v>1693</v>
      </c>
      <c r="D599" s="2" t="str">
        <f>IFERROR(__xludf.DUMMYFUNCTION("""COMPUTED_VALUE"""),"H-H-H")</f>
        <v>H-H-H</v>
      </c>
      <c r="E599" s="2" t="s">
        <v>10</v>
      </c>
    </row>
    <row r="600">
      <c r="A600" s="2" t="s">
        <v>1694</v>
      </c>
      <c r="B600" s="3" t="s">
        <v>1695</v>
      </c>
      <c r="C600" s="3" t="s">
        <v>643</v>
      </c>
      <c r="D600" s="2" t="str">
        <f>IFERROR(__xludf.DUMMYFUNCTION("""COMPUTED_VALUE"""),"H-L")</f>
        <v>H-L</v>
      </c>
      <c r="E600" s="2" t="s">
        <v>10</v>
      </c>
    </row>
    <row r="601">
      <c r="A601" s="2" t="s">
        <v>1696</v>
      </c>
      <c r="B601" s="3" t="s">
        <v>1697</v>
      </c>
      <c r="C601" s="3" t="s">
        <v>947</v>
      </c>
      <c r="D601" s="2" t="str">
        <f>IFERROR(__xludf.DUMMYFUNCTION("""COMPUTED_VALUE"""),"H")</f>
        <v>H</v>
      </c>
      <c r="E601" s="2" t="s">
        <v>10</v>
      </c>
    </row>
    <row r="602">
      <c r="A602" s="2" t="s">
        <v>1698</v>
      </c>
      <c r="B602" s="3" t="s">
        <v>1699</v>
      </c>
      <c r="C602" s="3" t="s">
        <v>1669</v>
      </c>
      <c r="D602" s="2" t="str">
        <f>IFERROR(__xludf.DUMMYFUNCTION("""COMPUTED_VALUE"""),"H-H-M")</f>
        <v>H-H-M</v>
      </c>
      <c r="E602" s="2" t="s">
        <v>10</v>
      </c>
    </row>
    <row r="603">
      <c r="A603" s="2" t="s">
        <v>1700</v>
      </c>
      <c r="B603" s="3" t="s">
        <v>1701</v>
      </c>
      <c r="C603" s="3" t="s">
        <v>953</v>
      </c>
      <c r="D603" s="2" t="str">
        <f>IFERROR(__xludf.DUMMYFUNCTION("""COMPUTED_VALUE"""),"H-H")</f>
        <v>H-H</v>
      </c>
      <c r="E603" s="2" t="s">
        <v>10</v>
      </c>
    </row>
    <row r="604">
      <c r="A604" s="2" t="s">
        <v>1702</v>
      </c>
      <c r="B604" s="3" t="s">
        <v>1703</v>
      </c>
      <c r="C604" s="3" t="s">
        <v>1704</v>
      </c>
      <c r="D604" s="2" t="str">
        <f>IFERROR(__xludf.DUMMYFUNCTION("""COMPUTED_VALUE"""),"H-H-H")</f>
        <v>H-H-H</v>
      </c>
      <c r="E604" s="2" t="s">
        <v>10</v>
      </c>
    </row>
    <row r="605">
      <c r="A605" s="2" t="s">
        <v>1705</v>
      </c>
      <c r="B605" s="3" t="s">
        <v>1706</v>
      </c>
      <c r="C605" s="3" t="s">
        <v>1707</v>
      </c>
      <c r="D605" s="2" t="str">
        <f>IFERROR(__xludf.DUMMYFUNCTION("""COMPUTED_VALUE"""),"H-L-H")</f>
        <v>H-L-H</v>
      </c>
      <c r="E605" s="2" t="s">
        <v>10</v>
      </c>
    </row>
    <row r="606">
      <c r="A606" s="2" t="s">
        <v>1708</v>
      </c>
      <c r="B606" s="3" t="s">
        <v>1709</v>
      </c>
      <c r="C606" s="3" t="s">
        <v>1710</v>
      </c>
      <c r="D606" s="2" t="str">
        <f>IFERROR(__xludf.DUMMYFUNCTION("""COMPUTED_VALUE"""),"L")</f>
        <v>L</v>
      </c>
      <c r="E606" s="2" t="s">
        <v>10</v>
      </c>
    </row>
    <row r="607">
      <c r="A607" s="2" t="s">
        <v>1711</v>
      </c>
      <c r="B607" s="3" t="s">
        <v>1712</v>
      </c>
      <c r="C607" s="3" t="s">
        <v>604</v>
      </c>
      <c r="D607" s="2" t="str">
        <f>IFERROR(__xludf.DUMMYFUNCTION("""COMPUTED_VALUE"""),"H-L-L")</f>
        <v>H-L-L</v>
      </c>
      <c r="E607" s="2" t="s">
        <v>10</v>
      </c>
    </row>
    <row r="608">
      <c r="A608" s="2" t="s">
        <v>1713</v>
      </c>
      <c r="B608" s="3" t="s">
        <v>1714</v>
      </c>
      <c r="C608" s="3" t="s">
        <v>622</v>
      </c>
      <c r="D608" s="2" t="str">
        <f>IFERROR(__xludf.DUMMYFUNCTION("""COMPUTED_VALUE"""),"H")</f>
        <v>H</v>
      </c>
      <c r="E608" s="2" t="s">
        <v>10</v>
      </c>
    </row>
    <row r="609">
      <c r="A609" s="2" t="s">
        <v>1715</v>
      </c>
      <c r="B609" s="3" t="s">
        <v>1716</v>
      </c>
      <c r="C609" s="3" t="s">
        <v>778</v>
      </c>
      <c r="D609" s="2" t="str">
        <f>IFERROR(__xludf.DUMMYFUNCTION("""COMPUTED_VALUE"""),"L")</f>
        <v>L</v>
      </c>
      <c r="E609" s="2" t="s">
        <v>10</v>
      </c>
    </row>
    <row r="610">
      <c r="A610" s="2" t="s">
        <v>1717</v>
      </c>
      <c r="B610" s="3" t="s">
        <v>1718</v>
      </c>
      <c r="C610" s="3" t="s">
        <v>1719</v>
      </c>
      <c r="D610" s="2" t="str">
        <f>IFERROR(__xludf.DUMMYFUNCTION("""COMPUTED_VALUE"""),"H")</f>
        <v>H</v>
      </c>
      <c r="E610" s="2" t="s">
        <v>10</v>
      </c>
    </row>
    <row r="611">
      <c r="A611" s="2" t="s">
        <v>1720</v>
      </c>
      <c r="B611" s="3" t="s">
        <v>1721</v>
      </c>
      <c r="C611" s="3" t="s">
        <v>1722</v>
      </c>
      <c r="D611" s="2" t="str">
        <f>IFERROR(__xludf.DUMMYFUNCTION("""COMPUTED_VALUE"""),"L")</f>
        <v>L</v>
      </c>
      <c r="E611" s="2" t="s">
        <v>10</v>
      </c>
    </row>
    <row r="612">
      <c r="A612" s="2" t="s">
        <v>1723</v>
      </c>
      <c r="B612" s="4" t="s">
        <v>1724</v>
      </c>
      <c r="C612" s="3" t="s">
        <v>1725</v>
      </c>
      <c r="D612" s="2" t="str">
        <f>IFERROR(__xludf.DUMMYFUNCTION("""COMPUTED_VALUE"""),"H")</f>
        <v>H</v>
      </c>
      <c r="E612" s="2" t="s">
        <v>10</v>
      </c>
    </row>
    <row r="613">
      <c r="A613" s="2" t="s">
        <v>1726</v>
      </c>
      <c r="B613" s="4" t="s">
        <v>1724</v>
      </c>
      <c r="C613" s="3" t="s">
        <v>1727</v>
      </c>
      <c r="D613" s="2" t="str">
        <f>IFERROR(__xludf.DUMMYFUNCTION("""COMPUTED_VALUE"""),"H")</f>
        <v>H</v>
      </c>
      <c r="E613" s="2" t="s">
        <v>10</v>
      </c>
    </row>
    <row r="614">
      <c r="A614" s="2" t="s">
        <v>1728</v>
      </c>
      <c r="B614" s="3" t="s">
        <v>1729</v>
      </c>
      <c r="C614" s="3" t="s">
        <v>1730</v>
      </c>
      <c r="D614" s="2" t="str">
        <f>IFERROR(__xludf.DUMMYFUNCTION("""COMPUTED_VALUE"""),"H-H-H")</f>
        <v>H-H-H</v>
      </c>
      <c r="E614" s="2" t="s">
        <v>10</v>
      </c>
    </row>
    <row r="615">
      <c r="A615" s="2" t="s">
        <v>1731</v>
      </c>
      <c r="B615" s="3" t="s">
        <v>1732</v>
      </c>
      <c r="C615" s="3" t="s">
        <v>1730</v>
      </c>
      <c r="D615" s="2" t="str">
        <f>IFERROR(__xludf.DUMMYFUNCTION("""COMPUTED_VALUE"""),"H-H-H")</f>
        <v>H-H-H</v>
      </c>
      <c r="E615" s="2" t="s">
        <v>10</v>
      </c>
    </row>
    <row r="616">
      <c r="A616" s="2" t="s">
        <v>1733</v>
      </c>
      <c r="B616" s="3" t="s">
        <v>1734</v>
      </c>
      <c r="C616" s="3" t="s">
        <v>1735</v>
      </c>
      <c r="D616" s="2" t="str">
        <f>IFERROR(__xludf.DUMMYFUNCTION("""COMPUTED_VALUE"""),"H-H-M-H")</f>
        <v>H-H-M-H</v>
      </c>
      <c r="E616" s="2" t="s">
        <v>10</v>
      </c>
    </row>
    <row r="617">
      <c r="A617" s="2" t="s">
        <v>1736</v>
      </c>
      <c r="B617" s="3" t="s">
        <v>1737</v>
      </c>
      <c r="C617" s="3" t="s">
        <v>1738</v>
      </c>
      <c r="D617" s="2" t="str">
        <f>IFERROR(__xludf.DUMMYFUNCTION("""COMPUTED_VALUE"""),"H-L")</f>
        <v>H-L</v>
      </c>
      <c r="E617" s="2" t="s">
        <v>10</v>
      </c>
    </row>
    <row r="618">
      <c r="A618" s="2" t="s">
        <v>1739</v>
      </c>
      <c r="B618" s="3" t="s">
        <v>1740</v>
      </c>
      <c r="C618" s="3" t="s">
        <v>1741</v>
      </c>
      <c r="D618" s="2" t="str">
        <f>IFERROR(__xludf.DUMMYFUNCTION("""COMPUTED_VALUE"""),"L-H-H")</f>
        <v>L-H-H</v>
      </c>
      <c r="E618" s="2" t="s">
        <v>10</v>
      </c>
    </row>
    <row r="619">
      <c r="A619" s="2" t="s">
        <v>1742</v>
      </c>
      <c r="B619" s="3" t="s">
        <v>1743</v>
      </c>
      <c r="C619" s="3" t="s">
        <v>1744</v>
      </c>
      <c r="D619" s="2" t="str">
        <f>IFERROR(__xludf.DUMMYFUNCTION("""COMPUTED_VALUE"""),"H-H")</f>
        <v>H-H</v>
      </c>
      <c r="E619" s="2" t="s">
        <v>10</v>
      </c>
    </row>
    <row r="620">
      <c r="A620" s="2" t="s">
        <v>1745</v>
      </c>
      <c r="B620" s="3" t="s">
        <v>1746</v>
      </c>
      <c r="C620" s="3" t="s">
        <v>1519</v>
      </c>
      <c r="D620" s="2" t="str">
        <f>IFERROR(__xludf.DUMMYFUNCTION("""COMPUTED_VALUE"""),"L")</f>
        <v>L</v>
      </c>
      <c r="E620" s="2" t="s">
        <v>10</v>
      </c>
    </row>
    <row r="621">
      <c r="A621" s="2" t="s">
        <v>1747</v>
      </c>
      <c r="B621" s="3" t="s">
        <v>1748</v>
      </c>
      <c r="C621" s="3" t="s">
        <v>1749</v>
      </c>
      <c r="D621" s="2" t="str">
        <f>IFERROR(__xludf.DUMMYFUNCTION("""COMPUTED_VALUE"""),"H-L-H")</f>
        <v>H-L-H</v>
      </c>
      <c r="E621" s="2" t="s">
        <v>10</v>
      </c>
    </row>
    <row r="622">
      <c r="A622" s="2" t="s">
        <v>1750</v>
      </c>
      <c r="B622" s="3" t="s">
        <v>1751</v>
      </c>
      <c r="C622" s="3" t="s">
        <v>1752</v>
      </c>
      <c r="D622" s="2" t="str">
        <f>IFERROR(__xludf.DUMMYFUNCTION("""COMPUTED_VALUE"""),"H-L")</f>
        <v>H-L</v>
      </c>
      <c r="E622" s="2" t="s">
        <v>10</v>
      </c>
    </row>
    <row r="623">
      <c r="A623" s="2" t="s">
        <v>1753</v>
      </c>
      <c r="B623" s="3" t="s">
        <v>1754</v>
      </c>
      <c r="C623" s="3" t="s">
        <v>1755</v>
      </c>
      <c r="D623" s="2" t="str">
        <f>IFERROR(__xludf.DUMMYFUNCTION("""COMPUTED_VALUE"""),"H-H")</f>
        <v>H-H</v>
      </c>
      <c r="E623" s="2" t="s">
        <v>10</v>
      </c>
    </row>
    <row r="624">
      <c r="A624" s="2" t="s">
        <v>1756</v>
      </c>
      <c r="B624" s="3" t="s">
        <v>1757</v>
      </c>
      <c r="C624" s="3" t="s">
        <v>1758</v>
      </c>
      <c r="D624" s="2" t="str">
        <f>IFERROR(__xludf.DUMMYFUNCTION("""COMPUTED_VALUE"""),"H-H-H")</f>
        <v>H-H-H</v>
      </c>
      <c r="E624" s="2" t="s">
        <v>10</v>
      </c>
    </row>
    <row r="625">
      <c r="A625" s="2" t="s">
        <v>1759</v>
      </c>
      <c r="B625" s="3" t="s">
        <v>1760</v>
      </c>
      <c r="C625" s="3" t="s">
        <v>1761</v>
      </c>
      <c r="D625" s="2" t="str">
        <f>IFERROR(__xludf.DUMMYFUNCTION("""COMPUTED_VALUE"""),"L-H-H-L-H")</f>
        <v>L-H-H-L-H</v>
      </c>
      <c r="E625" s="2" t="s">
        <v>10</v>
      </c>
    </row>
    <row r="626">
      <c r="A626" s="2" t="s">
        <v>1762</v>
      </c>
      <c r="B626" s="3" t="s">
        <v>1763</v>
      </c>
      <c r="C626" s="3" t="s">
        <v>1764</v>
      </c>
      <c r="D626" s="2" t="str">
        <f>IFERROR(__xludf.DUMMYFUNCTION("""COMPUTED_VALUE"""),"H-L")</f>
        <v>H-L</v>
      </c>
      <c r="E626" s="2" t="s">
        <v>10</v>
      </c>
    </row>
    <row r="627">
      <c r="A627" s="2" t="s">
        <v>1765</v>
      </c>
      <c r="B627" s="3" t="s">
        <v>1766</v>
      </c>
      <c r="C627" s="3" t="s">
        <v>1767</v>
      </c>
      <c r="D627" s="2" t="str">
        <f>IFERROR(__xludf.DUMMYFUNCTION("""COMPUTED_VALUE"""),"L-H")</f>
        <v>L-H</v>
      </c>
      <c r="E627" s="2" t="s">
        <v>10</v>
      </c>
    </row>
    <row r="628">
      <c r="A628" s="2" t="s">
        <v>1768</v>
      </c>
      <c r="B628" s="3" t="s">
        <v>1769</v>
      </c>
      <c r="C628" s="3" t="s">
        <v>1770</v>
      </c>
      <c r="D628" s="2" t="str">
        <f>IFERROR(__xludf.DUMMYFUNCTION("""COMPUTED_VALUE"""),"L-H")</f>
        <v>L-H</v>
      </c>
      <c r="E628" s="2" t="s">
        <v>10</v>
      </c>
    </row>
    <row r="629">
      <c r="A629" s="2" t="s">
        <v>1771</v>
      </c>
      <c r="B629" s="3" t="s">
        <v>1772</v>
      </c>
      <c r="C629" s="3" t="s">
        <v>1773</v>
      </c>
      <c r="D629" s="2" t="str">
        <f>IFERROR(__xludf.DUMMYFUNCTION("""COMPUTED_VALUE"""),"L-H-L")</f>
        <v>L-H-L</v>
      </c>
      <c r="E629" s="2" t="s">
        <v>10</v>
      </c>
    </row>
    <row r="630">
      <c r="A630" s="2" t="s">
        <v>1774</v>
      </c>
      <c r="B630" s="3" t="s">
        <v>1775</v>
      </c>
      <c r="C630" s="3" t="s">
        <v>1776</v>
      </c>
      <c r="D630" s="2" t="str">
        <f>IFERROR(__xludf.DUMMYFUNCTION("""COMPUTED_VALUE"""),"H-L")</f>
        <v>H-L</v>
      </c>
      <c r="E630" s="2" t="s">
        <v>10</v>
      </c>
    </row>
    <row r="631">
      <c r="A631" s="2" t="s">
        <v>1777</v>
      </c>
      <c r="B631" s="3" t="s">
        <v>1778</v>
      </c>
      <c r="C631" s="3" t="s">
        <v>9</v>
      </c>
      <c r="D631" s="2" t="str">
        <f>IFERROR(__xludf.DUMMYFUNCTION("""COMPUTED_VALUE"""),"L-H-L")</f>
        <v>L-H-L</v>
      </c>
      <c r="E631" s="2" t="s">
        <v>10</v>
      </c>
    </row>
    <row r="632">
      <c r="A632" s="2" t="s">
        <v>1779</v>
      </c>
      <c r="B632" s="4" t="s">
        <v>1780</v>
      </c>
      <c r="C632" s="3" t="s">
        <v>1781</v>
      </c>
      <c r="D632" s="2" t="str">
        <f>IFERROR(__xludf.DUMMYFUNCTION("""COMPUTED_VALUE"""),"L-H")</f>
        <v>L-H</v>
      </c>
      <c r="E632" s="2" t="s">
        <v>10</v>
      </c>
    </row>
    <row r="633">
      <c r="A633" s="2" t="s">
        <v>1782</v>
      </c>
      <c r="B633" s="4" t="s">
        <v>1780</v>
      </c>
      <c r="C633" s="3" t="s">
        <v>1783</v>
      </c>
      <c r="D633" s="2" t="str">
        <f>IFERROR(__xludf.DUMMYFUNCTION("""COMPUTED_VALUE"""),"L-H")</f>
        <v>L-H</v>
      </c>
      <c r="E633" s="2" t="s">
        <v>10</v>
      </c>
    </row>
    <row r="634">
      <c r="A634" s="2" t="s">
        <v>1784</v>
      </c>
      <c r="B634" s="3" t="s">
        <v>1785</v>
      </c>
      <c r="C634" s="3" t="s">
        <v>1786</v>
      </c>
      <c r="D634" s="2" t="str">
        <f>IFERROR(__xludf.DUMMYFUNCTION("""COMPUTED_VALUE"""),"L-L-L")</f>
        <v>L-L-L</v>
      </c>
      <c r="E634" s="2" t="s">
        <v>10</v>
      </c>
    </row>
    <row r="635">
      <c r="A635" s="2" t="s">
        <v>1787</v>
      </c>
      <c r="B635" s="3" t="s">
        <v>1788</v>
      </c>
      <c r="C635" s="3" t="s">
        <v>1789</v>
      </c>
      <c r="D635" s="2" t="str">
        <f>IFERROR(__xludf.DUMMYFUNCTION("""COMPUTED_VALUE"""),"L-H-M")</f>
        <v>L-H-M</v>
      </c>
      <c r="E635" s="2" t="s">
        <v>10</v>
      </c>
    </row>
    <row r="636">
      <c r="A636" s="2" t="s">
        <v>1790</v>
      </c>
      <c r="B636" s="3" t="s">
        <v>1791</v>
      </c>
      <c r="C636" s="3" t="s">
        <v>1792</v>
      </c>
      <c r="D636" s="2" t="str">
        <f>IFERROR(__xludf.DUMMYFUNCTION("""COMPUTED_VALUE"""),"L-H")</f>
        <v>L-H</v>
      </c>
      <c r="E636" s="2" t="s">
        <v>10</v>
      </c>
    </row>
    <row r="637">
      <c r="A637" s="2" t="s">
        <v>1793</v>
      </c>
      <c r="B637" s="3" t="s">
        <v>1794</v>
      </c>
      <c r="C637" s="3" t="s">
        <v>1795</v>
      </c>
      <c r="D637" s="2" t="str">
        <f>IFERROR(__xludf.DUMMYFUNCTION("""COMPUTED_VALUE"""),"L-L-L")</f>
        <v>L-L-L</v>
      </c>
      <c r="E637" s="2" t="s">
        <v>10</v>
      </c>
    </row>
    <row r="638">
      <c r="A638" s="2" t="s">
        <v>1796</v>
      </c>
      <c r="B638" s="3" t="s">
        <v>1797</v>
      </c>
      <c r="C638" s="3" t="s">
        <v>1798</v>
      </c>
      <c r="D638" s="2" t="str">
        <f>IFERROR(__xludf.DUMMYFUNCTION("""COMPUTED_VALUE"""),"L-L")</f>
        <v>L-L</v>
      </c>
      <c r="E638" s="2" t="s">
        <v>10</v>
      </c>
    </row>
    <row r="639">
      <c r="A639" s="2" t="s">
        <v>1799</v>
      </c>
      <c r="B639" s="3" t="s">
        <v>1800</v>
      </c>
      <c r="C639" s="3" t="s">
        <v>1801</v>
      </c>
      <c r="D639" s="2" t="str">
        <f>IFERROR(__xludf.DUMMYFUNCTION("""COMPUTED_VALUE"""),"H-L-L")</f>
        <v>H-L-L</v>
      </c>
      <c r="E639" s="2" t="s">
        <v>10</v>
      </c>
    </row>
    <row r="640">
      <c r="A640" s="2" t="s">
        <v>1802</v>
      </c>
      <c r="B640" s="3" t="s">
        <v>1803</v>
      </c>
      <c r="C640" s="3" t="s">
        <v>1020</v>
      </c>
      <c r="D640" s="2" t="str">
        <f>IFERROR(__xludf.DUMMYFUNCTION("""COMPUTED_VALUE"""),"L-L-L")</f>
        <v>L-L-L</v>
      </c>
      <c r="E640" s="2" t="s">
        <v>10</v>
      </c>
    </row>
    <row r="641">
      <c r="A641" s="2" t="s">
        <v>1804</v>
      </c>
      <c r="B641" s="3" t="s">
        <v>1805</v>
      </c>
      <c r="C641" s="3" t="s">
        <v>1806</v>
      </c>
      <c r="D641" s="2" t="str">
        <f>IFERROR(__xludf.DUMMYFUNCTION("""COMPUTED_VALUE"""),"H-H-M")</f>
        <v>H-H-M</v>
      </c>
      <c r="E641" s="2" t="s">
        <v>10</v>
      </c>
    </row>
    <row r="642">
      <c r="A642" s="2" t="s">
        <v>1807</v>
      </c>
      <c r="B642" s="3" t="s">
        <v>1808</v>
      </c>
      <c r="C642" s="3" t="s">
        <v>1809</v>
      </c>
      <c r="D642" s="2" t="str">
        <f>IFERROR(__xludf.DUMMYFUNCTION("""COMPUTED_VALUE"""),"H-M")</f>
        <v>H-M</v>
      </c>
      <c r="E642" s="2" t="s">
        <v>10</v>
      </c>
    </row>
    <row r="643">
      <c r="A643" s="2" t="s">
        <v>1810</v>
      </c>
      <c r="B643" s="3" t="s">
        <v>1811</v>
      </c>
      <c r="C643" s="3" t="s">
        <v>1812</v>
      </c>
      <c r="D643" s="2" t="str">
        <f>IFERROR(__xludf.DUMMYFUNCTION("""COMPUTED_VALUE"""),"H-H")</f>
        <v>H-H</v>
      </c>
      <c r="E643" s="2" t="s">
        <v>10</v>
      </c>
    </row>
    <row r="644">
      <c r="A644" s="2" t="s">
        <v>1813</v>
      </c>
      <c r="B644" s="3" t="s">
        <v>1814</v>
      </c>
      <c r="C644" s="3" t="s">
        <v>1815</v>
      </c>
      <c r="D644" s="2" t="str">
        <f>IFERROR(__xludf.DUMMYFUNCTION("""COMPUTED_VALUE"""),"H-L")</f>
        <v>H-L</v>
      </c>
      <c r="E644" s="2" t="s">
        <v>10</v>
      </c>
    </row>
    <row r="645">
      <c r="A645" s="2" t="s">
        <v>1816</v>
      </c>
      <c r="B645" s="3" t="s">
        <v>1817</v>
      </c>
      <c r="C645" s="3" t="s">
        <v>1818</v>
      </c>
      <c r="D645" s="2" t="str">
        <f>IFERROR(__xludf.DUMMYFUNCTION("""COMPUTED_VALUE"""),"L-L")</f>
        <v>L-L</v>
      </c>
      <c r="E645" s="2" t="s">
        <v>10</v>
      </c>
    </row>
    <row r="646">
      <c r="A646" s="2" t="s">
        <v>1819</v>
      </c>
      <c r="B646" s="3" t="s">
        <v>1820</v>
      </c>
      <c r="C646" s="3" t="s">
        <v>18</v>
      </c>
      <c r="D646" s="2" t="str">
        <f>IFERROR(__xludf.DUMMYFUNCTION("""COMPUTED_VALUE"""),"L-H")</f>
        <v>L-H</v>
      </c>
      <c r="E646" s="2" t="s">
        <v>10</v>
      </c>
    </row>
    <row r="647">
      <c r="A647" s="2" t="s">
        <v>1821</v>
      </c>
      <c r="B647" s="3" t="s">
        <v>1822</v>
      </c>
      <c r="C647" s="3" t="s">
        <v>1823</v>
      </c>
      <c r="D647" s="2" t="str">
        <f>IFERROR(__xludf.DUMMYFUNCTION("""COMPUTED_VALUE"""),"H-L")</f>
        <v>H-L</v>
      </c>
      <c r="E647" s="2" t="s">
        <v>10</v>
      </c>
    </row>
    <row r="648">
      <c r="A648" s="2" t="s">
        <v>1824</v>
      </c>
      <c r="B648" s="3" t="s">
        <v>1825</v>
      </c>
      <c r="C648" s="3" t="s">
        <v>1826</v>
      </c>
      <c r="D648" s="2" t="str">
        <f>IFERROR(__xludf.DUMMYFUNCTION("""COMPUTED_VALUE"""),"H-L")</f>
        <v>H-L</v>
      </c>
      <c r="E648" s="2" t="s">
        <v>10</v>
      </c>
    </row>
    <row r="649">
      <c r="A649" s="2" t="s">
        <v>1827</v>
      </c>
      <c r="B649" s="3" t="s">
        <v>1828</v>
      </c>
      <c r="C649" s="3" t="s">
        <v>1829</v>
      </c>
      <c r="D649" s="2" t="str">
        <f>IFERROR(__xludf.DUMMYFUNCTION("""COMPUTED_VALUE"""),"H-H")</f>
        <v>H-H</v>
      </c>
      <c r="E649" s="2" t="s">
        <v>10</v>
      </c>
    </row>
    <row r="650">
      <c r="A650" s="2" t="s">
        <v>1830</v>
      </c>
      <c r="B650" s="3" t="s">
        <v>1831</v>
      </c>
      <c r="C650" s="3" t="s">
        <v>1832</v>
      </c>
      <c r="D650" s="2" t="str">
        <f>IFERROR(__xludf.DUMMYFUNCTION("""COMPUTED_VALUE"""),"H-L")</f>
        <v>H-L</v>
      </c>
      <c r="E650" s="2" t="s">
        <v>10</v>
      </c>
    </row>
    <row r="651">
      <c r="A651" s="2" t="s">
        <v>1833</v>
      </c>
      <c r="B651" s="3" t="s">
        <v>1834</v>
      </c>
      <c r="C651" s="3" t="s">
        <v>1835</v>
      </c>
      <c r="D651" s="2" t="str">
        <f>IFERROR(__xludf.DUMMYFUNCTION("""COMPUTED_VALUE"""),"H-L-L")</f>
        <v>H-L-L</v>
      </c>
      <c r="E651" s="2" t="s">
        <v>10</v>
      </c>
    </row>
    <row r="652">
      <c r="A652" s="2" t="s">
        <v>1836</v>
      </c>
      <c r="B652" s="3" t="s">
        <v>1837</v>
      </c>
      <c r="C652" s="3" t="s">
        <v>1838</v>
      </c>
      <c r="D652" s="2" t="str">
        <f>IFERROR(__xludf.DUMMYFUNCTION("""COMPUTED_VALUE"""),"H-L")</f>
        <v>H-L</v>
      </c>
      <c r="E652" s="2" t="s">
        <v>10</v>
      </c>
    </row>
    <row r="653">
      <c r="A653" s="2" t="s">
        <v>1839</v>
      </c>
      <c r="B653" s="3" t="s">
        <v>1840</v>
      </c>
      <c r="C653" s="3" t="s">
        <v>1841</v>
      </c>
      <c r="D653" s="2" t="str">
        <f>IFERROR(__xludf.DUMMYFUNCTION("""COMPUTED_VALUE"""),"H-L-H-H")</f>
        <v>H-L-H-H</v>
      </c>
      <c r="E653" s="2" t="s">
        <v>10</v>
      </c>
    </row>
    <row r="654">
      <c r="A654" s="2" t="s">
        <v>1842</v>
      </c>
      <c r="B654" s="3" t="s">
        <v>1843</v>
      </c>
      <c r="C654" s="3" t="s">
        <v>1844</v>
      </c>
      <c r="D654" s="2" t="str">
        <f>IFERROR(__xludf.DUMMYFUNCTION("""COMPUTED_VALUE"""),"H-H")</f>
        <v>H-H</v>
      </c>
      <c r="E654" s="2" t="s">
        <v>10</v>
      </c>
    </row>
    <row r="655">
      <c r="A655" s="2" t="s">
        <v>1845</v>
      </c>
      <c r="B655" s="3" t="s">
        <v>235</v>
      </c>
      <c r="C655" s="3" t="s">
        <v>1826</v>
      </c>
      <c r="D655" s="2" t="str">
        <f>IFERROR(__xludf.DUMMYFUNCTION("""COMPUTED_VALUE"""),"H-L")</f>
        <v>H-L</v>
      </c>
      <c r="E655" s="2" t="s">
        <v>10</v>
      </c>
    </row>
    <row r="656">
      <c r="A656" s="2" t="s">
        <v>1846</v>
      </c>
      <c r="B656" s="3" t="s">
        <v>1847</v>
      </c>
      <c r="C656" s="3" t="s">
        <v>1848</v>
      </c>
      <c r="D656" s="2" t="str">
        <f>IFERROR(__xludf.DUMMYFUNCTION("""COMPUTED_VALUE"""),"L-L-L")</f>
        <v>L-L-L</v>
      </c>
      <c r="E656" s="2" t="s">
        <v>10</v>
      </c>
    </row>
    <row r="657">
      <c r="A657" s="2" t="s">
        <v>1849</v>
      </c>
      <c r="B657" s="3" t="s">
        <v>1850</v>
      </c>
      <c r="C657" s="3" t="s">
        <v>1851</v>
      </c>
      <c r="D657" s="2" t="str">
        <f>IFERROR(__xludf.DUMMYFUNCTION("""COMPUTED_VALUE"""),"H-H")</f>
        <v>H-H</v>
      </c>
      <c r="E657" s="2" t="s">
        <v>10</v>
      </c>
    </row>
    <row r="658">
      <c r="A658" s="2" t="s">
        <v>1852</v>
      </c>
      <c r="B658" s="3" t="s">
        <v>1853</v>
      </c>
      <c r="C658" s="3" t="s">
        <v>1854</v>
      </c>
      <c r="D658" s="2" t="str">
        <f>IFERROR(__xludf.DUMMYFUNCTION("""COMPUTED_VALUE"""),"H-H")</f>
        <v>H-H</v>
      </c>
      <c r="E658" s="2" t="s">
        <v>10</v>
      </c>
    </row>
    <row r="659">
      <c r="A659" s="2" t="s">
        <v>1855</v>
      </c>
      <c r="B659" s="3" t="s">
        <v>1856</v>
      </c>
      <c r="C659" s="3" t="s">
        <v>1857</v>
      </c>
      <c r="D659" s="2" t="str">
        <f>IFERROR(__xludf.DUMMYFUNCTION("""COMPUTED_VALUE"""),"H-H-M")</f>
        <v>H-H-M</v>
      </c>
      <c r="E659" s="2" t="s">
        <v>10</v>
      </c>
    </row>
    <row r="660">
      <c r="A660" s="2" t="s">
        <v>1858</v>
      </c>
      <c r="B660" s="3" t="s">
        <v>1859</v>
      </c>
      <c r="C660" s="3" t="s">
        <v>1860</v>
      </c>
      <c r="D660" s="2" t="str">
        <f>IFERROR(__xludf.DUMMYFUNCTION("""COMPUTED_VALUE"""),"L-H")</f>
        <v>L-H</v>
      </c>
      <c r="E660" s="2" t="s">
        <v>10</v>
      </c>
    </row>
    <row r="661">
      <c r="A661" s="2" t="s">
        <v>1861</v>
      </c>
      <c r="B661" s="3" t="s">
        <v>1862</v>
      </c>
      <c r="C661" s="3" t="s">
        <v>993</v>
      </c>
      <c r="D661" s="2" t="str">
        <f>IFERROR(__xludf.DUMMYFUNCTION("""COMPUTED_VALUE"""),"H-L-L")</f>
        <v>H-L-L</v>
      </c>
      <c r="E661" s="2" t="s">
        <v>10</v>
      </c>
    </row>
    <row r="662">
      <c r="A662" s="2" t="s">
        <v>1863</v>
      </c>
      <c r="B662" s="3" t="s">
        <v>1864</v>
      </c>
      <c r="C662" s="3" t="s">
        <v>993</v>
      </c>
      <c r="D662" s="2" t="str">
        <f>IFERROR(__xludf.DUMMYFUNCTION("""COMPUTED_VALUE"""),"H-L-L")</f>
        <v>H-L-L</v>
      </c>
      <c r="E662" s="2" t="s">
        <v>10</v>
      </c>
    </row>
    <row r="663">
      <c r="A663" s="2" t="s">
        <v>1865</v>
      </c>
      <c r="B663" s="3" t="s">
        <v>1866</v>
      </c>
      <c r="C663" s="3" t="s">
        <v>1867</v>
      </c>
      <c r="D663" s="2" t="str">
        <f>IFERROR(__xludf.DUMMYFUNCTION("""COMPUTED_VALUE"""),"L-H-M")</f>
        <v>L-H-M</v>
      </c>
      <c r="E663" s="2" t="s">
        <v>10</v>
      </c>
    </row>
    <row r="664">
      <c r="A664" s="2" t="s">
        <v>1868</v>
      </c>
      <c r="B664" s="3" t="s">
        <v>1869</v>
      </c>
      <c r="C664" s="3" t="s">
        <v>1870</v>
      </c>
      <c r="D664" s="2" t="str">
        <f>IFERROR(__xludf.DUMMYFUNCTION("""COMPUTED_VALUE"""),"L-L")</f>
        <v>L-L</v>
      </c>
      <c r="E664" s="2" t="s">
        <v>10</v>
      </c>
    </row>
    <row r="665">
      <c r="A665" s="2" t="s">
        <v>1871</v>
      </c>
      <c r="B665" s="3" t="s">
        <v>1872</v>
      </c>
      <c r="C665" s="3" t="s">
        <v>1873</v>
      </c>
      <c r="D665" s="2" t="str">
        <f>IFERROR(__xludf.DUMMYFUNCTION("""COMPUTED_VALUE"""),"L-H")</f>
        <v>L-H</v>
      </c>
      <c r="E665" s="2" t="s">
        <v>10</v>
      </c>
    </row>
    <row r="666">
      <c r="A666" s="2" t="s">
        <v>1874</v>
      </c>
      <c r="B666" s="3" t="s">
        <v>1875</v>
      </c>
      <c r="C666" s="3" t="s">
        <v>1876</v>
      </c>
      <c r="D666" s="2" t="str">
        <f>IFERROR(__xludf.DUMMYFUNCTION("""COMPUTED_VALUE"""),"L-L")</f>
        <v>L-L</v>
      </c>
      <c r="E666" s="2" t="s">
        <v>10</v>
      </c>
    </row>
    <row r="667">
      <c r="A667" s="2" t="s">
        <v>1877</v>
      </c>
      <c r="B667" s="3" t="s">
        <v>1878</v>
      </c>
      <c r="C667" s="3" t="s">
        <v>1879</v>
      </c>
      <c r="D667" s="2" t="str">
        <f>IFERROR(__xludf.DUMMYFUNCTION("""COMPUTED_VALUE"""),"L-H-H")</f>
        <v>L-H-H</v>
      </c>
      <c r="E667" s="2" t="s">
        <v>10</v>
      </c>
    </row>
    <row r="668">
      <c r="A668" s="2" t="s">
        <v>1880</v>
      </c>
      <c r="B668" s="3" t="s">
        <v>1881</v>
      </c>
      <c r="C668" s="3" t="s">
        <v>1882</v>
      </c>
      <c r="D668" s="2" t="str">
        <f>IFERROR(__xludf.DUMMYFUNCTION("""COMPUTED_VALUE"""),"H-L-L")</f>
        <v>H-L-L</v>
      </c>
      <c r="E668" s="2" t="s">
        <v>10</v>
      </c>
    </row>
    <row r="669">
      <c r="A669" s="2" t="s">
        <v>1883</v>
      </c>
      <c r="B669" s="3" t="s">
        <v>1884</v>
      </c>
      <c r="C669" s="3" t="s">
        <v>1885</v>
      </c>
      <c r="D669" s="2" t="str">
        <f>IFERROR(__xludf.DUMMYFUNCTION("""COMPUTED_VALUE"""),"H-H")</f>
        <v>H-H</v>
      </c>
      <c r="E669" s="2" t="s">
        <v>10</v>
      </c>
    </row>
    <row r="670">
      <c r="A670" s="2" t="s">
        <v>1886</v>
      </c>
      <c r="B670" s="3" t="s">
        <v>1887</v>
      </c>
      <c r="C670" s="3" t="s">
        <v>1888</v>
      </c>
      <c r="D670" s="2" t="str">
        <f>IFERROR(__xludf.DUMMYFUNCTION("""COMPUTED_VALUE"""),"L-H")</f>
        <v>L-H</v>
      </c>
      <c r="E670" s="2" t="s">
        <v>10</v>
      </c>
    </row>
    <row r="671">
      <c r="A671" s="2" t="s">
        <v>1889</v>
      </c>
      <c r="B671" s="3" t="s">
        <v>1890</v>
      </c>
      <c r="C671" s="3" t="s">
        <v>1891</v>
      </c>
      <c r="D671" s="2" t="str">
        <f>IFERROR(__xludf.DUMMYFUNCTION("""COMPUTED_VALUE"""),"H-M")</f>
        <v>H-M</v>
      </c>
      <c r="E671" s="2" t="s">
        <v>10</v>
      </c>
    </row>
    <row r="672">
      <c r="A672" s="2" t="s">
        <v>1892</v>
      </c>
      <c r="B672" s="3" t="s">
        <v>1893</v>
      </c>
      <c r="C672" s="3" t="s">
        <v>1894</v>
      </c>
      <c r="D672" s="2" t="str">
        <f>IFERROR(__xludf.DUMMYFUNCTION("""COMPUTED_VALUE"""),"H-L")</f>
        <v>H-L</v>
      </c>
      <c r="E672" s="2" t="s">
        <v>10</v>
      </c>
    </row>
    <row r="673">
      <c r="A673" s="2" t="s">
        <v>1895</v>
      </c>
      <c r="B673" s="3" t="s">
        <v>1896</v>
      </c>
      <c r="C673" s="3" t="s">
        <v>1897</v>
      </c>
      <c r="D673" s="2" t="str">
        <f>IFERROR(__xludf.DUMMYFUNCTION("""COMPUTED_VALUE"""),"L-L-L")</f>
        <v>L-L-L</v>
      </c>
      <c r="E673" s="2" t="s">
        <v>10</v>
      </c>
    </row>
    <row r="674">
      <c r="A674" s="2" t="s">
        <v>1898</v>
      </c>
      <c r="B674" s="3" t="s">
        <v>1899</v>
      </c>
      <c r="C674" s="3" t="s">
        <v>1900</v>
      </c>
      <c r="D674" s="2" t="str">
        <f>IFERROR(__xludf.DUMMYFUNCTION("""COMPUTED_VALUE"""),"H-H-L")</f>
        <v>H-H-L</v>
      </c>
      <c r="E674" s="2" t="s">
        <v>10</v>
      </c>
    </row>
    <row r="675">
      <c r="A675" s="2" t="s">
        <v>1901</v>
      </c>
      <c r="B675" s="3" t="s">
        <v>1902</v>
      </c>
      <c r="C675" s="3" t="s">
        <v>1903</v>
      </c>
      <c r="D675" s="2" t="str">
        <f>IFERROR(__xludf.DUMMYFUNCTION("""COMPUTED_VALUE"""),"H-H")</f>
        <v>H-H</v>
      </c>
      <c r="E675" s="2" t="s">
        <v>10</v>
      </c>
    </row>
    <row r="676">
      <c r="A676" s="2" t="s">
        <v>1904</v>
      </c>
      <c r="B676" s="3" t="s">
        <v>1905</v>
      </c>
      <c r="C676" s="3" t="s">
        <v>1693</v>
      </c>
      <c r="D676" s="2" t="str">
        <f>IFERROR(__xludf.DUMMYFUNCTION("""COMPUTED_VALUE"""),"H-H")</f>
        <v>H-H</v>
      </c>
      <c r="E676" s="2" t="s">
        <v>10</v>
      </c>
    </row>
    <row r="677">
      <c r="A677" s="2" t="s">
        <v>1906</v>
      </c>
      <c r="B677" s="3" t="s">
        <v>1907</v>
      </c>
      <c r="C677" s="3" t="s">
        <v>1908</v>
      </c>
      <c r="D677" s="2" t="str">
        <f>IFERROR(__xludf.DUMMYFUNCTION("""COMPUTED_VALUE"""),"L-H")</f>
        <v>L-H</v>
      </c>
      <c r="E677" s="2" t="s">
        <v>10</v>
      </c>
    </row>
    <row r="678">
      <c r="A678" s="2" t="s">
        <v>1909</v>
      </c>
      <c r="B678" s="3" t="s">
        <v>1910</v>
      </c>
      <c r="C678" s="3" t="s">
        <v>1911</v>
      </c>
      <c r="D678" s="2" t="str">
        <f>IFERROR(__xludf.DUMMYFUNCTION("""COMPUTED_VALUE"""),"H-L-H-L")</f>
        <v>H-L-H-L</v>
      </c>
      <c r="E678" s="2" t="s">
        <v>10</v>
      </c>
    </row>
    <row r="679">
      <c r="A679" s="2" t="s">
        <v>1912</v>
      </c>
      <c r="B679" s="3" t="s">
        <v>1913</v>
      </c>
      <c r="C679" s="3" t="s">
        <v>1914</v>
      </c>
      <c r="D679" s="2" t="str">
        <f>IFERROR(__xludf.DUMMYFUNCTION("""COMPUTED_VALUE"""),"H-L")</f>
        <v>H-L</v>
      </c>
      <c r="E679" s="2" t="s">
        <v>10</v>
      </c>
    </row>
    <row r="680">
      <c r="A680" s="2" t="s">
        <v>1915</v>
      </c>
      <c r="B680" s="3" t="s">
        <v>1916</v>
      </c>
      <c r="C680" s="3" t="s">
        <v>1693</v>
      </c>
      <c r="D680" s="2" t="str">
        <f>IFERROR(__xludf.DUMMYFUNCTION("""COMPUTED_VALUE"""),"H-H")</f>
        <v>H-H</v>
      </c>
      <c r="E680" s="2" t="s">
        <v>10</v>
      </c>
    </row>
    <row r="681">
      <c r="A681" s="2" t="s">
        <v>1917</v>
      </c>
      <c r="B681" s="3" t="s">
        <v>1918</v>
      </c>
      <c r="C681" s="3" t="s">
        <v>1919</v>
      </c>
      <c r="D681" s="2" t="str">
        <f>IFERROR(__xludf.DUMMYFUNCTION("""COMPUTED_VALUE"""),"L-L")</f>
        <v>L-L</v>
      </c>
      <c r="E681" s="2" t="s">
        <v>10</v>
      </c>
    </row>
    <row r="682">
      <c r="A682" s="2" t="s">
        <v>1920</v>
      </c>
      <c r="B682" s="3" t="s">
        <v>1921</v>
      </c>
      <c r="C682" s="3" t="s">
        <v>1922</v>
      </c>
      <c r="D682" s="2" t="str">
        <f>IFERROR(__xludf.DUMMYFUNCTION("""COMPUTED_VALUE"""),"L-H")</f>
        <v>L-H</v>
      </c>
      <c r="E682" s="2" t="s">
        <v>10</v>
      </c>
    </row>
    <row r="683">
      <c r="A683" s="2" t="s">
        <v>1923</v>
      </c>
      <c r="B683" s="3" t="s">
        <v>1924</v>
      </c>
      <c r="C683" s="3" t="s">
        <v>1925</v>
      </c>
      <c r="D683" s="2" t="str">
        <f>IFERROR(__xludf.DUMMYFUNCTION("""COMPUTED_VALUE"""),"H-H")</f>
        <v>H-H</v>
      </c>
      <c r="E683" s="2" t="s">
        <v>10</v>
      </c>
    </row>
    <row r="684">
      <c r="A684" s="2" t="s">
        <v>1926</v>
      </c>
      <c r="B684" s="3" t="s">
        <v>1927</v>
      </c>
      <c r="C684" s="3" t="s">
        <v>1922</v>
      </c>
      <c r="D684" s="2" t="str">
        <f>IFERROR(__xludf.DUMMYFUNCTION("""COMPUTED_VALUE"""),"L-H")</f>
        <v>L-H</v>
      </c>
      <c r="E684" s="2" t="s">
        <v>10</v>
      </c>
    </row>
    <row r="685">
      <c r="A685" s="2" t="s">
        <v>1928</v>
      </c>
      <c r="B685" s="3" t="s">
        <v>1929</v>
      </c>
      <c r="C685" s="3" t="s">
        <v>1930</v>
      </c>
      <c r="D685" s="2" t="str">
        <f>IFERROR(__xludf.DUMMYFUNCTION("""COMPUTED_VALUE"""),"L-H-L")</f>
        <v>L-H-L</v>
      </c>
      <c r="E685" s="2" t="s">
        <v>10</v>
      </c>
    </row>
    <row r="686">
      <c r="A686" s="2" t="s">
        <v>1931</v>
      </c>
      <c r="B686" s="3" t="s">
        <v>1932</v>
      </c>
      <c r="C686" s="3" t="s">
        <v>1933</v>
      </c>
      <c r="D686" s="2" t="str">
        <f>IFERROR(__xludf.DUMMYFUNCTION("""COMPUTED_VALUE"""),"L-L")</f>
        <v>L-L</v>
      </c>
      <c r="E686" s="2" t="s">
        <v>10</v>
      </c>
    </row>
    <row r="687">
      <c r="A687" s="2" t="s">
        <v>1934</v>
      </c>
      <c r="B687" s="3" t="s">
        <v>647</v>
      </c>
      <c r="C687" s="3" t="s">
        <v>648</v>
      </c>
      <c r="D687" s="2" t="str">
        <f>IFERROR(__xludf.DUMMYFUNCTION("""COMPUTED_VALUE"""),"H-L")</f>
        <v>H-L</v>
      </c>
      <c r="E687" s="2" t="s">
        <v>10</v>
      </c>
    </row>
    <row r="688">
      <c r="A688" s="2" t="s">
        <v>1935</v>
      </c>
      <c r="B688" s="3" t="s">
        <v>1936</v>
      </c>
      <c r="C688" s="3" t="s">
        <v>1937</v>
      </c>
      <c r="D688" s="2" t="str">
        <f>IFERROR(__xludf.DUMMYFUNCTION("""COMPUTED_VALUE"""),"L-H")</f>
        <v>L-H</v>
      </c>
      <c r="E688" s="2" t="s">
        <v>10</v>
      </c>
    </row>
    <row r="689">
      <c r="A689" s="2" t="s">
        <v>1938</v>
      </c>
      <c r="B689" s="3" t="s">
        <v>1939</v>
      </c>
      <c r="C689" s="3" t="s">
        <v>1940</v>
      </c>
      <c r="D689" s="2" t="str">
        <f>IFERROR(__xludf.DUMMYFUNCTION("""COMPUTED_VALUE"""),"H-H")</f>
        <v>H-H</v>
      </c>
      <c r="E689" s="2" t="s">
        <v>10</v>
      </c>
    </row>
    <row r="690">
      <c r="A690" s="2" t="s">
        <v>1941</v>
      </c>
      <c r="B690" s="3" t="s">
        <v>1942</v>
      </c>
      <c r="C690" s="3" t="s">
        <v>1943</v>
      </c>
      <c r="D690" s="2" t="str">
        <f>IFERROR(__xludf.DUMMYFUNCTION("""COMPUTED_VALUE"""),"H")</f>
        <v>H</v>
      </c>
      <c r="E690" s="2" t="s">
        <v>10</v>
      </c>
    </row>
    <row r="691">
      <c r="A691" s="2" t="s">
        <v>1944</v>
      </c>
      <c r="B691" s="3" t="s">
        <v>1945</v>
      </c>
      <c r="C691" s="3" t="s">
        <v>1946</v>
      </c>
      <c r="D691" s="2" t="str">
        <f>IFERROR(__xludf.DUMMYFUNCTION("""COMPUTED_VALUE"""),"L")</f>
        <v>L</v>
      </c>
      <c r="E691" s="2" t="s">
        <v>10</v>
      </c>
    </row>
    <row r="692">
      <c r="A692" s="2" t="s">
        <v>1947</v>
      </c>
      <c r="B692" s="3" t="s">
        <v>1948</v>
      </c>
      <c r="C692" s="3" t="s">
        <v>1949</v>
      </c>
      <c r="D692" s="2" t="str">
        <f>IFERROR(__xludf.DUMMYFUNCTION("""COMPUTED_VALUE"""),"H-L")</f>
        <v>H-L</v>
      </c>
      <c r="E692" s="2" t="s">
        <v>10</v>
      </c>
    </row>
    <row r="693">
      <c r="A693" s="2" t="s">
        <v>1950</v>
      </c>
      <c r="B693" s="3" t="s">
        <v>1951</v>
      </c>
      <c r="C693" s="3" t="s">
        <v>1952</v>
      </c>
      <c r="D693" s="2" t="str">
        <f>IFERROR(__xludf.DUMMYFUNCTION("""COMPUTED_VALUE"""),"H-L-L-L-L")</f>
        <v>H-L-L-L-L</v>
      </c>
      <c r="E693" s="2" t="s">
        <v>10</v>
      </c>
    </row>
    <row r="694">
      <c r="A694" s="2" t="s">
        <v>1953</v>
      </c>
      <c r="B694" s="3" t="s">
        <v>1954</v>
      </c>
      <c r="C694" s="3" t="s">
        <v>1955</v>
      </c>
      <c r="D694" s="2" t="str">
        <f>IFERROR(__xludf.DUMMYFUNCTION("""COMPUTED_VALUE"""),"H-L")</f>
        <v>H-L</v>
      </c>
      <c r="E694" s="2" t="s">
        <v>10</v>
      </c>
    </row>
    <row r="695">
      <c r="A695" s="2" t="s">
        <v>1956</v>
      </c>
      <c r="B695" s="3" t="s">
        <v>1957</v>
      </c>
      <c r="C695" s="3" t="s">
        <v>1949</v>
      </c>
      <c r="D695" s="2" t="str">
        <f>IFERROR(__xludf.DUMMYFUNCTION("""COMPUTED_VALUE"""),"H-L")</f>
        <v>H-L</v>
      </c>
      <c r="E695" s="2" t="s">
        <v>10</v>
      </c>
    </row>
    <row r="696">
      <c r="A696" s="2" t="s">
        <v>1958</v>
      </c>
      <c r="B696" s="3" t="s">
        <v>1959</v>
      </c>
      <c r="C696" s="3" t="s">
        <v>1960</v>
      </c>
      <c r="D696" s="2" t="str">
        <f>IFERROR(__xludf.DUMMYFUNCTION("""COMPUTED_VALUE"""),"H-H")</f>
        <v>H-H</v>
      </c>
      <c r="E696" s="2" t="s">
        <v>10</v>
      </c>
    </row>
    <row r="697">
      <c r="A697" s="2" t="s">
        <v>1961</v>
      </c>
      <c r="B697" s="3" t="s">
        <v>1962</v>
      </c>
      <c r="C697" s="3" t="s">
        <v>1963</v>
      </c>
      <c r="D697" s="2" t="str">
        <f>IFERROR(__xludf.DUMMYFUNCTION("""COMPUTED_VALUE"""),"H")</f>
        <v>H</v>
      </c>
      <c r="E697" s="2" t="s">
        <v>10</v>
      </c>
    </row>
    <row r="698">
      <c r="A698" s="2" t="s">
        <v>1964</v>
      </c>
      <c r="B698" s="3" t="s">
        <v>1965</v>
      </c>
      <c r="C698" s="3" t="s">
        <v>1966</v>
      </c>
      <c r="D698" s="2" t="str">
        <f>IFERROR(__xludf.DUMMYFUNCTION("""COMPUTED_VALUE"""),"L")</f>
        <v>L</v>
      </c>
      <c r="E698" s="2" t="s">
        <v>10</v>
      </c>
    </row>
    <row r="699">
      <c r="A699" s="2" t="s">
        <v>1967</v>
      </c>
      <c r="B699" s="3" t="s">
        <v>1968</v>
      </c>
      <c r="C699" s="3" t="s">
        <v>1969</v>
      </c>
      <c r="D699" s="2" t="str">
        <f>IFERROR(__xludf.DUMMYFUNCTION("""COMPUTED_VALUE"""),"L")</f>
        <v>L</v>
      </c>
      <c r="E699" s="2" t="s">
        <v>10</v>
      </c>
    </row>
    <row r="700">
      <c r="A700" s="2" t="s">
        <v>1970</v>
      </c>
      <c r="B700" s="3" t="s">
        <v>1971</v>
      </c>
      <c r="C700" s="3" t="s">
        <v>1972</v>
      </c>
      <c r="D700" s="2" t="str">
        <f>IFERROR(__xludf.DUMMYFUNCTION("""COMPUTED_VALUE"""),"H")</f>
        <v>H</v>
      </c>
      <c r="E700" s="2" t="s">
        <v>10</v>
      </c>
    </row>
    <row r="701">
      <c r="A701" s="2" t="s">
        <v>1973</v>
      </c>
      <c r="B701" s="3" t="s">
        <v>1974</v>
      </c>
      <c r="C701" s="3" t="s">
        <v>1975</v>
      </c>
      <c r="D701" s="2" t="str">
        <f>IFERROR(__xludf.DUMMYFUNCTION("""COMPUTED_VALUE"""),"H")</f>
        <v>H</v>
      </c>
      <c r="E701" s="2" t="s">
        <v>10</v>
      </c>
    </row>
    <row r="702">
      <c r="A702" s="2" t="s">
        <v>1976</v>
      </c>
      <c r="B702" s="3" t="s">
        <v>1977</v>
      </c>
      <c r="C702" s="3" t="s">
        <v>1978</v>
      </c>
      <c r="D702" s="2" t="str">
        <f>IFERROR(__xludf.DUMMYFUNCTION("""COMPUTED_VALUE"""),"L")</f>
        <v>L</v>
      </c>
      <c r="E702" s="2" t="s">
        <v>10</v>
      </c>
    </row>
    <row r="703">
      <c r="A703" s="2" t="s">
        <v>1979</v>
      </c>
      <c r="B703" s="3" t="s">
        <v>1980</v>
      </c>
      <c r="C703" s="3" t="s">
        <v>1981</v>
      </c>
      <c r="D703" s="2" t="str">
        <f>IFERROR(__xludf.DUMMYFUNCTION("""COMPUTED_VALUE"""),"L")</f>
        <v>L</v>
      </c>
      <c r="E703" s="2" t="s">
        <v>10</v>
      </c>
    </row>
    <row r="704">
      <c r="A704" s="2" t="s">
        <v>1982</v>
      </c>
      <c r="B704" s="3" t="s">
        <v>1983</v>
      </c>
      <c r="C704" s="3" t="s">
        <v>1984</v>
      </c>
      <c r="D704" s="2" t="str">
        <f>IFERROR(__xludf.DUMMYFUNCTION("""COMPUTED_VALUE"""),"H")</f>
        <v>H</v>
      </c>
      <c r="E704" s="2" t="s">
        <v>10</v>
      </c>
    </row>
    <row r="705">
      <c r="A705" s="2" t="s">
        <v>1985</v>
      </c>
      <c r="B705" s="3" t="s">
        <v>1986</v>
      </c>
      <c r="C705" s="3" t="s">
        <v>1987</v>
      </c>
      <c r="D705" s="2" t="str">
        <f>IFERROR(__xludf.DUMMYFUNCTION("""COMPUTED_VALUE"""),"H-L-H")</f>
        <v>H-L-H</v>
      </c>
      <c r="E705" s="2" t="s">
        <v>10</v>
      </c>
    </row>
    <row r="706">
      <c r="A706" s="2" t="s">
        <v>1988</v>
      </c>
      <c r="B706" s="3" t="s">
        <v>1989</v>
      </c>
      <c r="C706" s="3" t="s">
        <v>1990</v>
      </c>
      <c r="D706" s="2" t="str">
        <f>IFERROR(__xludf.DUMMYFUNCTION("""COMPUTED_VALUE"""),"L")</f>
        <v>L</v>
      </c>
      <c r="E706" s="2" t="s">
        <v>10</v>
      </c>
    </row>
    <row r="707">
      <c r="A707" s="2" t="s">
        <v>1991</v>
      </c>
      <c r="D707" s="2" t="str">
        <f>IFERROR(__xludf.DUMMYFUNCTION("""COMPUTED_VALUE"""),"")</f>
        <v/>
      </c>
      <c r="E707" s="2" t="s">
        <v>1991</v>
      </c>
    </row>
    <row r="708">
      <c r="A708" s="2" t="s">
        <v>1991</v>
      </c>
      <c r="D708" s="2" t="str">
        <f>IFERROR(__xludf.DUMMYFUNCTION("""COMPUTED_VALUE"""),"")</f>
        <v/>
      </c>
      <c r="E708" s="2" t="s">
        <v>1991</v>
      </c>
    </row>
    <row r="709">
      <c r="A709" s="2" t="s">
        <v>1991</v>
      </c>
      <c r="D709" s="2" t="str">
        <f>IFERROR(__xludf.DUMMYFUNCTION("""COMPUTED_VALUE"""),"")</f>
        <v/>
      </c>
      <c r="E709" s="2" t="s">
        <v>1991</v>
      </c>
    </row>
    <row r="710">
      <c r="A710" s="2" t="s">
        <v>1991</v>
      </c>
      <c r="D710" s="2" t="str">
        <f>IFERROR(__xludf.DUMMYFUNCTION("""COMPUTED_VALUE"""),"")</f>
        <v/>
      </c>
      <c r="E710" s="2" t="s">
        <v>1991</v>
      </c>
    </row>
    <row r="711">
      <c r="A711" s="2" t="s">
        <v>1991</v>
      </c>
      <c r="D711" s="2" t="str">
        <f>IFERROR(__xludf.DUMMYFUNCTION("""COMPUTED_VALUE"""),"")</f>
        <v/>
      </c>
      <c r="E711" s="2" t="s">
        <v>1991</v>
      </c>
    </row>
    <row r="712">
      <c r="A712" s="2" t="s">
        <v>1991</v>
      </c>
      <c r="D712" s="2" t="str">
        <f>IFERROR(__xludf.DUMMYFUNCTION("""COMPUTED_VALUE"""),"")</f>
        <v/>
      </c>
      <c r="E712" s="2" t="s">
        <v>1991</v>
      </c>
    </row>
    <row r="713">
      <c r="A713" s="2" t="s">
        <v>1991</v>
      </c>
      <c r="D713" s="2" t="str">
        <f>IFERROR(__xludf.DUMMYFUNCTION("""COMPUTED_VALUE"""),"")</f>
        <v/>
      </c>
      <c r="E713" s="2" t="s">
        <v>1991</v>
      </c>
    </row>
    <row r="714">
      <c r="A714" s="2" t="s">
        <v>1991</v>
      </c>
      <c r="D714" s="2" t="str">
        <f>IFERROR(__xludf.DUMMYFUNCTION("""COMPUTED_VALUE"""),"")</f>
        <v/>
      </c>
      <c r="E714" s="2" t="s">
        <v>1991</v>
      </c>
    </row>
    <row r="715">
      <c r="A715" s="2" t="s">
        <v>1991</v>
      </c>
      <c r="D715" s="2" t="str">
        <f>IFERROR(__xludf.DUMMYFUNCTION("""COMPUTED_VALUE"""),"")</f>
        <v/>
      </c>
      <c r="E715" s="2" t="s">
        <v>1991</v>
      </c>
    </row>
    <row r="716">
      <c r="A716" s="2" t="s">
        <v>1991</v>
      </c>
      <c r="D716" s="2" t="str">
        <f>IFERROR(__xludf.DUMMYFUNCTION("""COMPUTED_VALUE"""),"")</f>
        <v/>
      </c>
      <c r="E716" s="2" t="s">
        <v>1991</v>
      </c>
    </row>
    <row r="717">
      <c r="A717" s="2" t="s">
        <v>1991</v>
      </c>
      <c r="D717" s="2" t="str">
        <f>IFERROR(__xludf.DUMMYFUNCTION("""COMPUTED_VALUE"""),"")</f>
        <v/>
      </c>
      <c r="E717" s="2" t="s">
        <v>1991</v>
      </c>
    </row>
    <row r="718">
      <c r="A718" s="2" t="s">
        <v>1991</v>
      </c>
      <c r="D718" s="2" t="str">
        <f>IFERROR(__xludf.DUMMYFUNCTION("""COMPUTED_VALUE"""),"")</f>
        <v/>
      </c>
      <c r="E718" s="2" t="s">
        <v>1991</v>
      </c>
    </row>
    <row r="719">
      <c r="A719" s="2" t="s">
        <v>1991</v>
      </c>
      <c r="D719" s="2" t="str">
        <f>IFERROR(__xludf.DUMMYFUNCTION("""COMPUTED_VALUE"""),"")</f>
        <v/>
      </c>
      <c r="E719" s="2" t="s">
        <v>1991</v>
      </c>
    </row>
    <row r="720">
      <c r="A720" s="2" t="s">
        <v>1991</v>
      </c>
      <c r="D720" s="2" t="str">
        <f>IFERROR(__xludf.DUMMYFUNCTION("""COMPUTED_VALUE"""),"")</f>
        <v/>
      </c>
      <c r="E720" s="2" t="s">
        <v>1991</v>
      </c>
    </row>
    <row r="721">
      <c r="A721" s="2" t="s">
        <v>1991</v>
      </c>
      <c r="D721" s="2" t="str">
        <f>IFERROR(__xludf.DUMMYFUNCTION("""COMPUTED_VALUE"""),"")</f>
        <v/>
      </c>
      <c r="E721" s="2" t="s">
        <v>1991</v>
      </c>
    </row>
    <row r="722">
      <c r="A722" s="2" t="s">
        <v>1991</v>
      </c>
      <c r="D722" s="2" t="str">
        <f>IFERROR(__xludf.DUMMYFUNCTION("""COMPUTED_VALUE"""),"")</f>
        <v/>
      </c>
      <c r="E722" s="2" t="s">
        <v>1991</v>
      </c>
    </row>
    <row r="723">
      <c r="A723" s="2" t="s">
        <v>1991</v>
      </c>
      <c r="D723" s="2" t="str">
        <f>IFERROR(__xludf.DUMMYFUNCTION("""COMPUTED_VALUE"""),"")</f>
        <v/>
      </c>
      <c r="E723" s="2" t="s">
        <v>1991</v>
      </c>
    </row>
    <row r="724">
      <c r="A724" s="2" t="s">
        <v>1991</v>
      </c>
      <c r="D724" s="2" t="str">
        <f>IFERROR(__xludf.DUMMYFUNCTION("""COMPUTED_VALUE"""),"")</f>
        <v/>
      </c>
      <c r="E724" s="2" t="s">
        <v>1991</v>
      </c>
    </row>
    <row r="725">
      <c r="A725" s="2" t="s">
        <v>1991</v>
      </c>
      <c r="D725" s="2" t="str">
        <f>IFERROR(__xludf.DUMMYFUNCTION("""COMPUTED_VALUE"""),"")</f>
        <v/>
      </c>
      <c r="E725" s="2" t="s">
        <v>1991</v>
      </c>
    </row>
    <row r="726">
      <c r="A726" s="2" t="s">
        <v>1991</v>
      </c>
      <c r="D726" s="2" t="str">
        <f>IFERROR(__xludf.DUMMYFUNCTION("""COMPUTED_VALUE"""),"")</f>
        <v/>
      </c>
      <c r="E726" s="2" t="s">
        <v>1991</v>
      </c>
    </row>
    <row r="727">
      <c r="A727" s="2" t="s">
        <v>1991</v>
      </c>
      <c r="D727" s="2" t="str">
        <f>IFERROR(__xludf.DUMMYFUNCTION("""COMPUTED_VALUE"""),"")</f>
        <v/>
      </c>
      <c r="E727" s="2" t="s">
        <v>1991</v>
      </c>
    </row>
    <row r="728">
      <c r="A728" s="2" t="s">
        <v>1991</v>
      </c>
      <c r="D728" s="2" t="str">
        <f>IFERROR(__xludf.DUMMYFUNCTION("""COMPUTED_VALUE"""),"")</f>
        <v/>
      </c>
      <c r="E728" s="2" t="s">
        <v>1991</v>
      </c>
    </row>
    <row r="729">
      <c r="A729" s="2" t="s">
        <v>1991</v>
      </c>
      <c r="D729" s="2" t="str">
        <f>IFERROR(__xludf.DUMMYFUNCTION("""COMPUTED_VALUE"""),"")</f>
        <v/>
      </c>
      <c r="E729" s="2" t="s">
        <v>1991</v>
      </c>
    </row>
    <row r="730">
      <c r="A730" s="2" t="s">
        <v>1991</v>
      </c>
      <c r="D730" s="2" t="str">
        <f>IFERROR(__xludf.DUMMYFUNCTION("""COMPUTED_VALUE"""),"")</f>
        <v/>
      </c>
      <c r="E730" s="2" t="s">
        <v>1991</v>
      </c>
    </row>
    <row r="731">
      <c r="A731" s="2" t="s">
        <v>1991</v>
      </c>
      <c r="D731" s="2" t="str">
        <f>IFERROR(__xludf.DUMMYFUNCTION("""COMPUTED_VALUE"""),"")</f>
        <v/>
      </c>
      <c r="E731" s="2" t="s">
        <v>1991</v>
      </c>
    </row>
    <row r="732">
      <c r="A732" s="2" t="s">
        <v>1991</v>
      </c>
      <c r="D732" s="2" t="str">
        <f>IFERROR(__xludf.DUMMYFUNCTION("""COMPUTED_VALUE"""),"")</f>
        <v/>
      </c>
      <c r="E732" s="2" t="s">
        <v>1991</v>
      </c>
    </row>
    <row r="733">
      <c r="A733" s="2" t="s">
        <v>1991</v>
      </c>
      <c r="D733" s="2" t="str">
        <f>IFERROR(__xludf.DUMMYFUNCTION("""COMPUTED_VALUE"""),"")</f>
        <v/>
      </c>
      <c r="E733" s="2" t="s">
        <v>1991</v>
      </c>
    </row>
    <row r="734">
      <c r="A734" s="2" t="s">
        <v>1991</v>
      </c>
      <c r="D734" s="2" t="str">
        <f>IFERROR(__xludf.DUMMYFUNCTION("""COMPUTED_VALUE"""),"")</f>
        <v/>
      </c>
      <c r="E734" s="2" t="s">
        <v>1991</v>
      </c>
    </row>
    <row r="735">
      <c r="A735" s="2" t="s">
        <v>1991</v>
      </c>
      <c r="D735" s="2" t="str">
        <f>IFERROR(__xludf.DUMMYFUNCTION("""COMPUTED_VALUE"""),"")</f>
        <v/>
      </c>
      <c r="E735" s="2" t="s">
        <v>1991</v>
      </c>
    </row>
    <row r="736">
      <c r="A736" s="2" t="s">
        <v>1991</v>
      </c>
      <c r="D736" s="2" t="str">
        <f>IFERROR(__xludf.DUMMYFUNCTION("""COMPUTED_VALUE"""),"")</f>
        <v/>
      </c>
      <c r="E736" s="2" t="s">
        <v>1991</v>
      </c>
    </row>
    <row r="737">
      <c r="A737" s="2" t="s">
        <v>1991</v>
      </c>
      <c r="D737" s="2" t="str">
        <f>IFERROR(__xludf.DUMMYFUNCTION("""COMPUTED_VALUE"""),"")</f>
        <v/>
      </c>
      <c r="E737" s="2" t="s">
        <v>1991</v>
      </c>
    </row>
    <row r="738">
      <c r="A738" s="2" t="s">
        <v>1991</v>
      </c>
      <c r="D738" s="2" t="str">
        <f>IFERROR(__xludf.DUMMYFUNCTION("""COMPUTED_VALUE"""),"")</f>
        <v/>
      </c>
      <c r="E738" s="2" t="s">
        <v>1991</v>
      </c>
    </row>
    <row r="739">
      <c r="A739" s="2" t="s">
        <v>1991</v>
      </c>
      <c r="D739" s="2" t="str">
        <f>IFERROR(__xludf.DUMMYFUNCTION("""COMPUTED_VALUE"""),"")</f>
        <v/>
      </c>
      <c r="E739" s="2" t="s">
        <v>1991</v>
      </c>
    </row>
    <row r="740">
      <c r="A740" s="2" t="s">
        <v>1991</v>
      </c>
      <c r="D740" s="2" t="str">
        <f>IFERROR(__xludf.DUMMYFUNCTION("""COMPUTED_VALUE"""),"")</f>
        <v/>
      </c>
      <c r="E740" s="2" t="s">
        <v>1991</v>
      </c>
    </row>
    <row r="741">
      <c r="A741" s="2" t="s">
        <v>1991</v>
      </c>
      <c r="D741" s="2" t="str">
        <f>IFERROR(__xludf.DUMMYFUNCTION("""COMPUTED_VALUE"""),"")</f>
        <v/>
      </c>
      <c r="E741" s="2" t="s">
        <v>1991</v>
      </c>
    </row>
    <row r="742">
      <c r="A742" s="2" t="s">
        <v>1991</v>
      </c>
      <c r="D742" s="2" t="str">
        <f>IFERROR(__xludf.DUMMYFUNCTION("""COMPUTED_VALUE"""),"")</f>
        <v/>
      </c>
      <c r="E742" s="2" t="s">
        <v>1991</v>
      </c>
    </row>
    <row r="743">
      <c r="A743" s="2" t="s">
        <v>1991</v>
      </c>
      <c r="D743" s="2" t="str">
        <f>IFERROR(__xludf.DUMMYFUNCTION("""COMPUTED_VALUE"""),"")</f>
        <v/>
      </c>
      <c r="E743" s="2" t="s">
        <v>1991</v>
      </c>
    </row>
    <row r="744">
      <c r="A744" s="2" t="s">
        <v>1991</v>
      </c>
      <c r="D744" s="2" t="str">
        <f>IFERROR(__xludf.DUMMYFUNCTION("""COMPUTED_VALUE"""),"")</f>
        <v/>
      </c>
      <c r="E744" s="2" t="s">
        <v>1991</v>
      </c>
    </row>
    <row r="745">
      <c r="A745" s="2" t="s">
        <v>1991</v>
      </c>
      <c r="D745" s="2" t="str">
        <f>IFERROR(__xludf.DUMMYFUNCTION("""COMPUTED_VALUE"""),"")</f>
        <v/>
      </c>
      <c r="E745" s="2" t="s">
        <v>1991</v>
      </c>
    </row>
    <row r="746">
      <c r="A746" s="2" t="s">
        <v>1991</v>
      </c>
      <c r="D746" s="2" t="str">
        <f>IFERROR(__xludf.DUMMYFUNCTION("""COMPUTED_VALUE"""),"")</f>
        <v/>
      </c>
      <c r="E746" s="2" t="s">
        <v>1991</v>
      </c>
    </row>
    <row r="747">
      <c r="A747" s="2" t="s">
        <v>1991</v>
      </c>
      <c r="D747" s="2" t="str">
        <f>IFERROR(__xludf.DUMMYFUNCTION("""COMPUTED_VALUE"""),"")</f>
        <v/>
      </c>
      <c r="E747" s="2" t="s">
        <v>1991</v>
      </c>
    </row>
    <row r="748">
      <c r="A748" s="2" t="s">
        <v>1991</v>
      </c>
      <c r="D748" s="2" t="str">
        <f>IFERROR(__xludf.DUMMYFUNCTION("""COMPUTED_VALUE"""),"")</f>
        <v/>
      </c>
      <c r="E748" s="2" t="s">
        <v>1991</v>
      </c>
    </row>
    <row r="749">
      <c r="A749" s="2" t="s">
        <v>1991</v>
      </c>
      <c r="D749" s="2" t="str">
        <f>IFERROR(__xludf.DUMMYFUNCTION("""COMPUTED_VALUE"""),"")</f>
        <v/>
      </c>
      <c r="E749" s="2" t="s">
        <v>1991</v>
      </c>
    </row>
    <row r="750">
      <c r="A750" s="2" t="s">
        <v>1991</v>
      </c>
      <c r="D750" s="2" t="str">
        <f>IFERROR(__xludf.DUMMYFUNCTION("""COMPUTED_VALUE"""),"")</f>
        <v/>
      </c>
      <c r="E750" s="2" t="s">
        <v>1991</v>
      </c>
    </row>
    <row r="751">
      <c r="A751" s="2" t="s">
        <v>1991</v>
      </c>
      <c r="D751" s="2" t="str">
        <f>IFERROR(__xludf.DUMMYFUNCTION("""COMPUTED_VALUE"""),"")</f>
        <v/>
      </c>
      <c r="E751" s="2" t="s">
        <v>1991</v>
      </c>
    </row>
    <row r="752">
      <c r="A752" s="2" t="s">
        <v>1991</v>
      </c>
      <c r="D752" s="2" t="str">
        <f>IFERROR(__xludf.DUMMYFUNCTION("""COMPUTED_VALUE"""),"")</f>
        <v/>
      </c>
      <c r="E752" s="2" t="s">
        <v>1991</v>
      </c>
    </row>
    <row r="753">
      <c r="A753" s="2" t="s">
        <v>1991</v>
      </c>
      <c r="D753" s="2" t="str">
        <f>IFERROR(__xludf.DUMMYFUNCTION("""COMPUTED_VALUE"""),"")</f>
        <v/>
      </c>
      <c r="E753" s="2" t="s">
        <v>1991</v>
      </c>
    </row>
    <row r="754">
      <c r="A754" s="2" t="s">
        <v>1991</v>
      </c>
      <c r="D754" s="2" t="str">
        <f>IFERROR(__xludf.DUMMYFUNCTION("""COMPUTED_VALUE"""),"")</f>
        <v/>
      </c>
      <c r="E754" s="2" t="s">
        <v>1991</v>
      </c>
    </row>
    <row r="755">
      <c r="A755" s="2" t="s">
        <v>1991</v>
      </c>
      <c r="D755" s="2" t="str">
        <f>IFERROR(__xludf.DUMMYFUNCTION("""COMPUTED_VALUE"""),"")</f>
        <v/>
      </c>
      <c r="E755" s="2" t="s">
        <v>1991</v>
      </c>
    </row>
    <row r="756">
      <c r="A756" s="2" t="s">
        <v>1991</v>
      </c>
      <c r="D756" s="2" t="str">
        <f>IFERROR(__xludf.DUMMYFUNCTION("""COMPUTED_VALUE"""),"")</f>
        <v/>
      </c>
      <c r="E756" s="2" t="s">
        <v>1991</v>
      </c>
    </row>
    <row r="757">
      <c r="A757" s="2" t="s">
        <v>1991</v>
      </c>
      <c r="D757" s="2" t="str">
        <f>IFERROR(__xludf.DUMMYFUNCTION("""COMPUTED_VALUE"""),"")</f>
        <v/>
      </c>
      <c r="E757" s="2" t="s">
        <v>1991</v>
      </c>
    </row>
    <row r="758">
      <c r="A758" s="2" t="s">
        <v>1991</v>
      </c>
      <c r="D758" s="2" t="str">
        <f>IFERROR(__xludf.DUMMYFUNCTION("""COMPUTED_VALUE"""),"")</f>
        <v/>
      </c>
      <c r="E758" s="2" t="s">
        <v>1991</v>
      </c>
    </row>
    <row r="759">
      <c r="A759" s="2" t="s">
        <v>1991</v>
      </c>
      <c r="D759" s="2" t="str">
        <f>IFERROR(__xludf.DUMMYFUNCTION("""COMPUTED_VALUE"""),"")</f>
        <v/>
      </c>
      <c r="E759" s="2" t="s">
        <v>1991</v>
      </c>
    </row>
    <row r="760">
      <c r="A760" s="2" t="s">
        <v>1991</v>
      </c>
      <c r="D760" s="2" t="str">
        <f>IFERROR(__xludf.DUMMYFUNCTION("""COMPUTED_VALUE"""),"")</f>
        <v/>
      </c>
      <c r="E760" s="2" t="s">
        <v>1991</v>
      </c>
    </row>
    <row r="761">
      <c r="A761" s="2" t="s">
        <v>1991</v>
      </c>
      <c r="D761" s="2" t="str">
        <f>IFERROR(__xludf.DUMMYFUNCTION("""COMPUTED_VALUE"""),"")</f>
        <v/>
      </c>
      <c r="E761" s="2" t="s">
        <v>1991</v>
      </c>
    </row>
    <row r="762">
      <c r="A762" s="2" t="s">
        <v>1991</v>
      </c>
      <c r="D762" s="2" t="str">
        <f>IFERROR(__xludf.DUMMYFUNCTION("""COMPUTED_VALUE"""),"")</f>
        <v/>
      </c>
      <c r="E762" s="2" t="s">
        <v>1991</v>
      </c>
    </row>
    <row r="763">
      <c r="A763" s="2" t="s">
        <v>1991</v>
      </c>
      <c r="D763" s="2" t="str">
        <f>IFERROR(__xludf.DUMMYFUNCTION("""COMPUTED_VALUE"""),"")</f>
        <v/>
      </c>
      <c r="E763" s="2" t="s">
        <v>1991</v>
      </c>
    </row>
    <row r="764">
      <c r="A764" s="2" t="s">
        <v>1991</v>
      </c>
      <c r="D764" s="2" t="str">
        <f>IFERROR(__xludf.DUMMYFUNCTION("""COMPUTED_VALUE"""),"")</f>
        <v/>
      </c>
      <c r="E764" s="2" t="s">
        <v>1991</v>
      </c>
    </row>
    <row r="765">
      <c r="A765" s="2" t="s">
        <v>1991</v>
      </c>
      <c r="D765" s="2" t="str">
        <f>IFERROR(__xludf.DUMMYFUNCTION("""COMPUTED_VALUE"""),"")</f>
        <v/>
      </c>
      <c r="E765" s="2" t="s">
        <v>1991</v>
      </c>
    </row>
    <row r="766">
      <c r="A766" s="2" t="s">
        <v>1991</v>
      </c>
      <c r="D766" s="2" t="str">
        <f>IFERROR(__xludf.DUMMYFUNCTION("""COMPUTED_VALUE"""),"")</f>
        <v/>
      </c>
      <c r="E766" s="2" t="s">
        <v>1991</v>
      </c>
    </row>
    <row r="767">
      <c r="A767" s="2" t="s">
        <v>1991</v>
      </c>
      <c r="D767" s="2" t="str">
        <f>IFERROR(__xludf.DUMMYFUNCTION("""COMPUTED_VALUE"""),"")</f>
        <v/>
      </c>
      <c r="E767" s="2" t="s">
        <v>1991</v>
      </c>
    </row>
    <row r="768">
      <c r="A768" s="2" t="s">
        <v>1991</v>
      </c>
      <c r="D768" s="2" t="str">
        <f>IFERROR(__xludf.DUMMYFUNCTION("""COMPUTED_VALUE"""),"")</f>
        <v/>
      </c>
      <c r="E768" s="2" t="s">
        <v>1991</v>
      </c>
    </row>
    <row r="769">
      <c r="A769" s="2" t="s">
        <v>1991</v>
      </c>
      <c r="D769" s="2" t="str">
        <f>IFERROR(__xludf.DUMMYFUNCTION("""COMPUTED_VALUE"""),"")</f>
        <v/>
      </c>
      <c r="E769" s="2" t="s">
        <v>1991</v>
      </c>
    </row>
    <row r="770">
      <c r="A770" s="2" t="s">
        <v>1991</v>
      </c>
      <c r="D770" s="2" t="str">
        <f>IFERROR(__xludf.DUMMYFUNCTION("""COMPUTED_VALUE"""),"")</f>
        <v/>
      </c>
      <c r="E770" s="2" t="s">
        <v>1991</v>
      </c>
    </row>
    <row r="771">
      <c r="A771" s="2" t="s">
        <v>1991</v>
      </c>
      <c r="D771" s="2" t="str">
        <f>IFERROR(__xludf.DUMMYFUNCTION("""COMPUTED_VALUE"""),"")</f>
        <v/>
      </c>
      <c r="E771" s="2" t="s">
        <v>1991</v>
      </c>
    </row>
    <row r="772">
      <c r="A772" s="2" t="s">
        <v>1991</v>
      </c>
      <c r="D772" s="2" t="str">
        <f>IFERROR(__xludf.DUMMYFUNCTION("""COMPUTED_VALUE"""),"")</f>
        <v/>
      </c>
      <c r="E772" s="2" t="s">
        <v>1991</v>
      </c>
    </row>
    <row r="773">
      <c r="A773" s="2" t="s">
        <v>1991</v>
      </c>
      <c r="D773" s="2" t="str">
        <f>IFERROR(__xludf.DUMMYFUNCTION("""COMPUTED_VALUE"""),"")</f>
        <v/>
      </c>
      <c r="E773" s="2" t="s">
        <v>1991</v>
      </c>
    </row>
    <row r="774">
      <c r="A774" s="2" t="s">
        <v>1991</v>
      </c>
      <c r="D774" s="2" t="str">
        <f>IFERROR(__xludf.DUMMYFUNCTION("""COMPUTED_VALUE"""),"")</f>
        <v/>
      </c>
      <c r="E774" s="2" t="s">
        <v>1991</v>
      </c>
    </row>
    <row r="775">
      <c r="A775" s="2" t="s">
        <v>1991</v>
      </c>
      <c r="D775" s="2" t="str">
        <f>IFERROR(__xludf.DUMMYFUNCTION("""COMPUTED_VALUE"""),"")</f>
        <v/>
      </c>
      <c r="E775" s="2" t="s">
        <v>1991</v>
      </c>
    </row>
    <row r="776">
      <c r="A776" s="2" t="s">
        <v>1991</v>
      </c>
      <c r="D776" s="2" t="str">
        <f>IFERROR(__xludf.DUMMYFUNCTION("""COMPUTED_VALUE"""),"")</f>
        <v/>
      </c>
      <c r="E776" s="2" t="s">
        <v>1991</v>
      </c>
    </row>
    <row r="777">
      <c r="A777" s="2" t="s">
        <v>1991</v>
      </c>
      <c r="D777" s="2" t="str">
        <f>IFERROR(__xludf.DUMMYFUNCTION("""COMPUTED_VALUE"""),"")</f>
        <v/>
      </c>
      <c r="E777" s="2" t="s">
        <v>1991</v>
      </c>
    </row>
    <row r="778">
      <c r="A778" s="2" t="s">
        <v>1991</v>
      </c>
      <c r="D778" s="2" t="str">
        <f>IFERROR(__xludf.DUMMYFUNCTION("""COMPUTED_VALUE"""),"")</f>
        <v/>
      </c>
      <c r="E778" s="2" t="s">
        <v>1991</v>
      </c>
    </row>
    <row r="779">
      <c r="A779" s="2" t="s">
        <v>1991</v>
      </c>
      <c r="D779" s="2" t="str">
        <f>IFERROR(__xludf.DUMMYFUNCTION("""COMPUTED_VALUE"""),"")</f>
        <v/>
      </c>
      <c r="E779" s="2" t="s">
        <v>1991</v>
      </c>
    </row>
    <row r="780">
      <c r="A780" s="2" t="s">
        <v>1991</v>
      </c>
      <c r="D780" s="2" t="str">
        <f>IFERROR(__xludf.DUMMYFUNCTION("""COMPUTED_VALUE"""),"")</f>
        <v/>
      </c>
      <c r="E780" s="2" t="s">
        <v>1991</v>
      </c>
    </row>
    <row r="781">
      <c r="A781" s="2" t="s">
        <v>1991</v>
      </c>
      <c r="D781" s="2" t="str">
        <f>IFERROR(__xludf.DUMMYFUNCTION("""COMPUTED_VALUE"""),"")</f>
        <v/>
      </c>
      <c r="E781" s="2" t="s">
        <v>1991</v>
      </c>
    </row>
    <row r="782">
      <c r="A782" s="2" t="s">
        <v>1991</v>
      </c>
      <c r="D782" s="2" t="str">
        <f>IFERROR(__xludf.DUMMYFUNCTION("""COMPUTED_VALUE"""),"")</f>
        <v/>
      </c>
      <c r="E782" s="2" t="s">
        <v>1991</v>
      </c>
    </row>
    <row r="783">
      <c r="A783" s="2" t="s">
        <v>1991</v>
      </c>
      <c r="D783" s="2" t="str">
        <f>IFERROR(__xludf.DUMMYFUNCTION("""COMPUTED_VALUE"""),"")</f>
        <v/>
      </c>
      <c r="E783" s="2" t="s">
        <v>1991</v>
      </c>
    </row>
    <row r="784">
      <c r="A784" s="2" t="s">
        <v>1991</v>
      </c>
      <c r="D784" s="2" t="str">
        <f>IFERROR(__xludf.DUMMYFUNCTION("""COMPUTED_VALUE"""),"")</f>
        <v/>
      </c>
      <c r="E784" s="2" t="s">
        <v>1991</v>
      </c>
    </row>
    <row r="785">
      <c r="A785" s="2" t="s">
        <v>1991</v>
      </c>
      <c r="D785" s="2" t="str">
        <f>IFERROR(__xludf.DUMMYFUNCTION("""COMPUTED_VALUE"""),"")</f>
        <v/>
      </c>
      <c r="E785" s="2" t="s">
        <v>1991</v>
      </c>
    </row>
    <row r="786">
      <c r="A786" s="2" t="s">
        <v>1991</v>
      </c>
      <c r="D786" s="2" t="str">
        <f>IFERROR(__xludf.DUMMYFUNCTION("""COMPUTED_VALUE"""),"")</f>
        <v/>
      </c>
      <c r="E786" s="2" t="s">
        <v>1991</v>
      </c>
    </row>
    <row r="787">
      <c r="A787" s="2" t="s">
        <v>1991</v>
      </c>
      <c r="D787" s="2" t="str">
        <f>IFERROR(__xludf.DUMMYFUNCTION("""COMPUTED_VALUE"""),"")</f>
        <v/>
      </c>
      <c r="E787" s="2" t="s">
        <v>1991</v>
      </c>
    </row>
    <row r="788">
      <c r="A788" s="2" t="s">
        <v>1991</v>
      </c>
      <c r="D788" s="2" t="str">
        <f>IFERROR(__xludf.DUMMYFUNCTION("""COMPUTED_VALUE"""),"")</f>
        <v/>
      </c>
      <c r="E788" s="2" t="s">
        <v>1991</v>
      </c>
    </row>
    <row r="789">
      <c r="A789" s="2" t="s">
        <v>1991</v>
      </c>
      <c r="D789" s="2" t="str">
        <f>IFERROR(__xludf.DUMMYFUNCTION("""COMPUTED_VALUE"""),"")</f>
        <v/>
      </c>
      <c r="E789" s="2" t="s">
        <v>1991</v>
      </c>
    </row>
    <row r="790">
      <c r="A790" s="2" t="s">
        <v>1991</v>
      </c>
      <c r="D790" s="2" t="str">
        <f>IFERROR(__xludf.DUMMYFUNCTION("""COMPUTED_VALUE"""),"")</f>
        <v/>
      </c>
      <c r="E790" s="2" t="s">
        <v>1991</v>
      </c>
    </row>
    <row r="791">
      <c r="A791" s="2" t="s">
        <v>1991</v>
      </c>
      <c r="D791" s="2" t="str">
        <f>IFERROR(__xludf.DUMMYFUNCTION("""COMPUTED_VALUE"""),"")</f>
        <v/>
      </c>
      <c r="E791" s="2" t="s">
        <v>1991</v>
      </c>
    </row>
    <row r="792">
      <c r="A792" s="2" t="s">
        <v>1991</v>
      </c>
      <c r="D792" s="2" t="str">
        <f>IFERROR(__xludf.DUMMYFUNCTION("""COMPUTED_VALUE"""),"")</f>
        <v/>
      </c>
      <c r="E792" s="2" t="s">
        <v>1991</v>
      </c>
    </row>
    <row r="793">
      <c r="A793" s="2" t="s">
        <v>1991</v>
      </c>
      <c r="D793" s="2" t="str">
        <f>IFERROR(__xludf.DUMMYFUNCTION("""COMPUTED_VALUE"""),"")</f>
        <v/>
      </c>
      <c r="E793" s="2" t="s">
        <v>1991</v>
      </c>
    </row>
    <row r="794">
      <c r="A794" s="2" t="s">
        <v>1991</v>
      </c>
      <c r="D794" s="2" t="str">
        <f>IFERROR(__xludf.DUMMYFUNCTION("""COMPUTED_VALUE"""),"")</f>
        <v/>
      </c>
      <c r="E794" s="2" t="s">
        <v>1991</v>
      </c>
    </row>
    <row r="795">
      <c r="A795" s="2" t="s">
        <v>1991</v>
      </c>
      <c r="D795" s="2" t="str">
        <f>IFERROR(__xludf.DUMMYFUNCTION("""COMPUTED_VALUE"""),"")</f>
        <v/>
      </c>
      <c r="E795" s="2" t="s">
        <v>1991</v>
      </c>
    </row>
    <row r="796">
      <c r="A796" s="2" t="s">
        <v>1991</v>
      </c>
      <c r="D796" s="2" t="str">
        <f>IFERROR(__xludf.DUMMYFUNCTION("""COMPUTED_VALUE"""),"")</f>
        <v/>
      </c>
      <c r="E796" s="2" t="s">
        <v>1991</v>
      </c>
    </row>
    <row r="797">
      <c r="A797" s="2" t="s">
        <v>1991</v>
      </c>
      <c r="D797" s="2" t="str">
        <f>IFERROR(__xludf.DUMMYFUNCTION("""COMPUTED_VALUE"""),"")</f>
        <v/>
      </c>
      <c r="E797" s="2" t="s">
        <v>1991</v>
      </c>
    </row>
    <row r="798">
      <c r="A798" s="2" t="s">
        <v>1991</v>
      </c>
      <c r="D798" s="2" t="str">
        <f>IFERROR(__xludf.DUMMYFUNCTION("""COMPUTED_VALUE"""),"")</f>
        <v/>
      </c>
      <c r="E798" s="2" t="s">
        <v>1991</v>
      </c>
    </row>
    <row r="799">
      <c r="A799" s="2" t="s">
        <v>1991</v>
      </c>
      <c r="D799" s="2" t="str">
        <f>IFERROR(__xludf.DUMMYFUNCTION("""COMPUTED_VALUE"""),"")</f>
        <v/>
      </c>
      <c r="E799" s="2" t="s">
        <v>1991</v>
      </c>
    </row>
    <row r="800">
      <c r="A800" s="2" t="s">
        <v>1991</v>
      </c>
      <c r="D800" s="2" t="str">
        <f>IFERROR(__xludf.DUMMYFUNCTION("""COMPUTED_VALUE"""),"")</f>
        <v/>
      </c>
      <c r="E800" s="2" t="s">
        <v>1991</v>
      </c>
    </row>
    <row r="801">
      <c r="A801" s="2" t="s">
        <v>1991</v>
      </c>
      <c r="D801" s="2" t="str">
        <f>IFERROR(__xludf.DUMMYFUNCTION("""COMPUTED_VALUE"""),"")</f>
        <v/>
      </c>
      <c r="E801" s="2" t="s">
        <v>1991</v>
      </c>
    </row>
    <row r="802">
      <c r="A802" s="2" t="s">
        <v>1991</v>
      </c>
      <c r="D802" s="2" t="str">
        <f>IFERROR(__xludf.DUMMYFUNCTION("""COMPUTED_VALUE"""),"")</f>
        <v/>
      </c>
      <c r="E802" s="2" t="s">
        <v>1991</v>
      </c>
    </row>
    <row r="803">
      <c r="A803" s="2" t="s">
        <v>1991</v>
      </c>
      <c r="D803" s="2" t="str">
        <f>IFERROR(__xludf.DUMMYFUNCTION("""COMPUTED_VALUE"""),"")</f>
        <v/>
      </c>
      <c r="E803" s="2" t="s">
        <v>1991</v>
      </c>
    </row>
    <row r="804">
      <c r="A804" s="2" t="s">
        <v>1991</v>
      </c>
      <c r="D804" s="2" t="str">
        <f>IFERROR(__xludf.DUMMYFUNCTION("""COMPUTED_VALUE"""),"")</f>
        <v/>
      </c>
      <c r="E804" s="2" t="s">
        <v>1991</v>
      </c>
    </row>
    <row r="805">
      <c r="A805" s="2" t="s">
        <v>1991</v>
      </c>
      <c r="D805" s="2" t="str">
        <f>IFERROR(__xludf.DUMMYFUNCTION("""COMPUTED_VALUE"""),"")</f>
        <v/>
      </c>
      <c r="E805" s="2" t="s">
        <v>1991</v>
      </c>
    </row>
    <row r="806">
      <c r="A806" s="2" t="s">
        <v>1991</v>
      </c>
      <c r="D806" s="2" t="str">
        <f>IFERROR(__xludf.DUMMYFUNCTION("""COMPUTED_VALUE"""),"")</f>
        <v/>
      </c>
      <c r="E806" s="2" t="s">
        <v>1991</v>
      </c>
    </row>
    <row r="807">
      <c r="A807" s="2" t="s">
        <v>1991</v>
      </c>
      <c r="D807" s="2" t="str">
        <f>IFERROR(__xludf.DUMMYFUNCTION("""COMPUTED_VALUE"""),"")</f>
        <v/>
      </c>
      <c r="E807" s="2" t="s">
        <v>1991</v>
      </c>
    </row>
    <row r="808">
      <c r="A808" s="2" t="s">
        <v>1991</v>
      </c>
      <c r="D808" s="2" t="str">
        <f>IFERROR(__xludf.DUMMYFUNCTION("""COMPUTED_VALUE"""),"")</f>
        <v/>
      </c>
      <c r="E808" s="2" t="s">
        <v>1991</v>
      </c>
    </row>
    <row r="809">
      <c r="A809" s="2" t="s">
        <v>1991</v>
      </c>
      <c r="D809" s="2" t="str">
        <f>IFERROR(__xludf.DUMMYFUNCTION("""COMPUTED_VALUE"""),"")</f>
        <v/>
      </c>
      <c r="E809" s="2" t="s">
        <v>1991</v>
      </c>
    </row>
    <row r="810">
      <c r="A810" s="2" t="s">
        <v>1991</v>
      </c>
      <c r="D810" s="2" t="str">
        <f>IFERROR(__xludf.DUMMYFUNCTION("""COMPUTED_VALUE"""),"")</f>
        <v/>
      </c>
      <c r="E810" s="2" t="s">
        <v>1991</v>
      </c>
    </row>
    <row r="811">
      <c r="A811" s="2" t="s">
        <v>1991</v>
      </c>
      <c r="D811" s="2" t="str">
        <f>IFERROR(__xludf.DUMMYFUNCTION("""COMPUTED_VALUE"""),"")</f>
        <v/>
      </c>
      <c r="E811" s="2" t="s">
        <v>1991</v>
      </c>
    </row>
    <row r="812">
      <c r="A812" s="2" t="s">
        <v>1991</v>
      </c>
      <c r="D812" s="2" t="str">
        <f>IFERROR(__xludf.DUMMYFUNCTION("""COMPUTED_VALUE"""),"")</f>
        <v/>
      </c>
      <c r="E812" s="2" t="s">
        <v>1991</v>
      </c>
    </row>
    <row r="813">
      <c r="A813" s="2" t="s">
        <v>1991</v>
      </c>
      <c r="D813" s="2" t="str">
        <f>IFERROR(__xludf.DUMMYFUNCTION("""COMPUTED_VALUE"""),"")</f>
        <v/>
      </c>
      <c r="E813" s="2" t="s">
        <v>1991</v>
      </c>
    </row>
    <row r="814">
      <c r="A814" s="2" t="s">
        <v>1991</v>
      </c>
      <c r="D814" s="2" t="str">
        <f>IFERROR(__xludf.DUMMYFUNCTION("""COMPUTED_VALUE"""),"")</f>
        <v/>
      </c>
      <c r="E814" s="2" t="s">
        <v>1991</v>
      </c>
    </row>
    <row r="815">
      <c r="A815" s="2" t="s">
        <v>1991</v>
      </c>
      <c r="D815" s="2" t="str">
        <f>IFERROR(__xludf.DUMMYFUNCTION("""COMPUTED_VALUE"""),"")</f>
        <v/>
      </c>
      <c r="E815" s="2" t="s">
        <v>1991</v>
      </c>
    </row>
    <row r="816">
      <c r="A816" s="2" t="s">
        <v>1991</v>
      </c>
      <c r="D816" s="2" t="str">
        <f>IFERROR(__xludf.DUMMYFUNCTION("""COMPUTED_VALUE"""),"")</f>
        <v/>
      </c>
      <c r="E816" s="2" t="s">
        <v>1991</v>
      </c>
    </row>
    <row r="817">
      <c r="A817" s="2" t="s">
        <v>1991</v>
      </c>
      <c r="D817" s="2" t="str">
        <f>IFERROR(__xludf.DUMMYFUNCTION("""COMPUTED_VALUE"""),"")</f>
        <v/>
      </c>
      <c r="E817" s="2" t="s">
        <v>1991</v>
      </c>
    </row>
    <row r="818">
      <c r="A818" s="2" t="s">
        <v>1991</v>
      </c>
      <c r="D818" s="2" t="str">
        <f>IFERROR(__xludf.DUMMYFUNCTION("""COMPUTED_VALUE"""),"")</f>
        <v/>
      </c>
      <c r="E818" s="2" t="s">
        <v>1991</v>
      </c>
    </row>
    <row r="819">
      <c r="A819" s="2" t="s">
        <v>1991</v>
      </c>
      <c r="D819" s="2" t="str">
        <f>IFERROR(__xludf.DUMMYFUNCTION("""COMPUTED_VALUE"""),"")</f>
        <v/>
      </c>
      <c r="E819" s="2" t="s">
        <v>1991</v>
      </c>
    </row>
    <row r="820">
      <c r="A820" s="2" t="s">
        <v>1991</v>
      </c>
      <c r="D820" s="2" t="str">
        <f>IFERROR(__xludf.DUMMYFUNCTION("""COMPUTED_VALUE"""),"")</f>
        <v/>
      </c>
      <c r="E820" s="2" t="s">
        <v>1991</v>
      </c>
    </row>
    <row r="821">
      <c r="A821" s="2" t="s">
        <v>1991</v>
      </c>
      <c r="D821" s="2" t="str">
        <f>IFERROR(__xludf.DUMMYFUNCTION("""COMPUTED_VALUE"""),"")</f>
        <v/>
      </c>
      <c r="E821" s="2" t="s">
        <v>1991</v>
      </c>
    </row>
    <row r="822">
      <c r="A822" s="2" t="s">
        <v>1991</v>
      </c>
      <c r="D822" s="2" t="str">
        <f>IFERROR(__xludf.DUMMYFUNCTION("""COMPUTED_VALUE"""),"")</f>
        <v/>
      </c>
      <c r="E822" s="2" t="s">
        <v>1991</v>
      </c>
    </row>
    <row r="823">
      <c r="A823" s="2" t="s">
        <v>1991</v>
      </c>
      <c r="D823" s="2" t="str">
        <f>IFERROR(__xludf.DUMMYFUNCTION("""COMPUTED_VALUE"""),"")</f>
        <v/>
      </c>
      <c r="E823" s="2" t="s">
        <v>1991</v>
      </c>
    </row>
    <row r="824">
      <c r="A824" s="2" t="s">
        <v>1991</v>
      </c>
      <c r="D824" s="2" t="str">
        <f>IFERROR(__xludf.DUMMYFUNCTION("""COMPUTED_VALUE"""),"")</f>
        <v/>
      </c>
      <c r="E824" s="2" t="s">
        <v>1991</v>
      </c>
    </row>
    <row r="825">
      <c r="A825" s="2" t="s">
        <v>1991</v>
      </c>
      <c r="D825" s="2" t="str">
        <f>IFERROR(__xludf.DUMMYFUNCTION("""COMPUTED_VALUE"""),"")</f>
        <v/>
      </c>
      <c r="E825" s="2" t="s">
        <v>1991</v>
      </c>
    </row>
    <row r="826">
      <c r="A826" s="2" t="s">
        <v>1991</v>
      </c>
      <c r="D826" s="2" t="str">
        <f>IFERROR(__xludf.DUMMYFUNCTION("""COMPUTED_VALUE"""),"")</f>
        <v/>
      </c>
      <c r="E826" s="2" t="s">
        <v>1991</v>
      </c>
    </row>
    <row r="827">
      <c r="A827" s="2" t="s">
        <v>1991</v>
      </c>
      <c r="D827" s="2" t="str">
        <f>IFERROR(__xludf.DUMMYFUNCTION("""COMPUTED_VALUE"""),"")</f>
        <v/>
      </c>
      <c r="E827" s="2" t="s">
        <v>1991</v>
      </c>
    </row>
    <row r="828">
      <c r="A828" s="2" t="s">
        <v>1991</v>
      </c>
      <c r="D828" s="2" t="str">
        <f>IFERROR(__xludf.DUMMYFUNCTION("""COMPUTED_VALUE"""),"")</f>
        <v/>
      </c>
      <c r="E828" s="2" t="s">
        <v>1991</v>
      </c>
    </row>
    <row r="829">
      <c r="A829" s="2" t="s">
        <v>1991</v>
      </c>
      <c r="D829" s="2" t="str">
        <f>IFERROR(__xludf.DUMMYFUNCTION("""COMPUTED_VALUE"""),"")</f>
        <v/>
      </c>
      <c r="E829" s="2" t="s">
        <v>1991</v>
      </c>
    </row>
    <row r="830">
      <c r="A830" s="2" t="s">
        <v>1991</v>
      </c>
      <c r="D830" s="2" t="str">
        <f>IFERROR(__xludf.DUMMYFUNCTION("""COMPUTED_VALUE"""),"")</f>
        <v/>
      </c>
      <c r="E830" s="2" t="s">
        <v>1991</v>
      </c>
    </row>
    <row r="831">
      <c r="A831" s="2" t="s">
        <v>1991</v>
      </c>
      <c r="D831" s="2" t="str">
        <f>IFERROR(__xludf.DUMMYFUNCTION("""COMPUTED_VALUE"""),"")</f>
        <v/>
      </c>
      <c r="E831" s="2" t="s">
        <v>1991</v>
      </c>
    </row>
    <row r="832">
      <c r="A832" s="2" t="s">
        <v>1991</v>
      </c>
      <c r="D832" s="2" t="str">
        <f>IFERROR(__xludf.DUMMYFUNCTION("""COMPUTED_VALUE"""),"")</f>
        <v/>
      </c>
      <c r="E832" s="2" t="s">
        <v>1991</v>
      </c>
    </row>
    <row r="833">
      <c r="A833" s="2" t="s">
        <v>1991</v>
      </c>
      <c r="D833" s="2" t="str">
        <f>IFERROR(__xludf.DUMMYFUNCTION("""COMPUTED_VALUE"""),"")</f>
        <v/>
      </c>
      <c r="E833" s="2" t="s">
        <v>1991</v>
      </c>
    </row>
    <row r="834">
      <c r="A834" s="2" t="s">
        <v>1991</v>
      </c>
      <c r="D834" s="2" t="str">
        <f>IFERROR(__xludf.DUMMYFUNCTION("""COMPUTED_VALUE"""),"")</f>
        <v/>
      </c>
      <c r="E834" s="2" t="s">
        <v>1991</v>
      </c>
    </row>
    <row r="835">
      <c r="A835" s="2" t="s">
        <v>1991</v>
      </c>
      <c r="D835" s="2" t="str">
        <f>IFERROR(__xludf.DUMMYFUNCTION("""COMPUTED_VALUE"""),"")</f>
        <v/>
      </c>
      <c r="E835" s="2" t="s">
        <v>1991</v>
      </c>
    </row>
    <row r="836">
      <c r="A836" s="2" t="s">
        <v>1991</v>
      </c>
      <c r="D836" s="2" t="str">
        <f>IFERROR(__xludf.DUMMYFUNCTION("""COMPUTED_VALUE"""),"")</f>
        <v/>
      </c>
      <c r="E836" s="2" t="s">
        <v>1991</v>
      </c>
    </row>
    <row r="837">
      <c r="A837" s="2" t="s">
        <v>1991</v>
      </c>
      <c r="D837" s="2" t="str">
        <f>IFERROR(__xludf.DUMMYFUNCTION("""COMPUTED_VALUE"""),"")</f>
        <v/>
      </c>
      <c r="E837" s="2" t="s">
        <v>1991</v>
      </c>
    </row>
    <row r="838">
      <c r="A838" s="2" t="s">
        <v>1991</v>
      </c>
      <c r="D838" s="2" t="str">
        <f>IFERROR(__xludf.DUMMYFUNCTION("""COMPUTED_VALUE"""),"")</f>
        <v/>
      </c>
      <c r="E838" s="2" t="s">
        <v>1991</v>
      </c>
    </row>
    <row r="839">
      <c r="A839" s="2" t="s">
        <v>1991</v>
      </c>
      <c r="D839" s="2" t="str">
        <f>IFERROR(__xludf.DUMMYFUNCTION("""COMPUTED_VALUE"""),"")</f>
        <v/>
      </c>
      <c r="E839" s="2" t="s">
        <v>1991</v>
      </c>
    </row>
    <row r="840">
      <c r="A840" s="2" t="s">
        <v>1991</v>
      </c>
      <c r="D840" s="2" t="str">
        <f>IFERROR(__xludf.DUMMYFUNCTION("""COMPUTED_VALUE"""),"")</f>
        <v/>
      </c>
      <c r="E840" s="2" t="s">
        <v>1991</v>
      </c>
    </row>
    <row r="841">
      <c r="A841" s="2" t="s">
        <v>1991</v>
      </c>
      <c r="D841" s="2" t="str">
        <f>IFERROR(__xludf.DUMMYFUNCTION("""COMPUTED_VALUE"""),"")</f>
        <v/>
      </c>
      <c r="E841" s="2" t="s">
        <v>1991</v>
      </c>
    </row>
    <row r="842">
      <c r="A842" s="2" t="s">
        <v>1991</v>
      </c>
      <c r="D842" s="2" t="str">
        <f>IFERROR(__xludf.DUMMYFUNCTION("""COMPUTED_VALUE"""),"")</f>
        <v/>
      </c>
      <c r="E842" s="2" t="s">
        <v>1991</v>
      </c>
    </row>
    <row r="843">
      <c r="A843" s="2" t="s">
        <v>1991</v>
      </c>
      <c r="D843" s="2" t="str">
        <f>IFERROR(__xludf.DUMMYFUNCTION("""COMPUTED_VALUE"""),"")</f>
        <v/>
      </c>
      <c r="E843" s="2" t="s">
        <v>1991</v>
      </c>
    </row>
    <row r="844">
      <c r="A844" s="2" t="s">
        <v>1991</v>
      </c>
      <c r="D844" s="2" t="str">
        <f>IFERROR(__xludf.DUMMYFUNCTION("""COMPUTED_VALUE"""),"")</f>
        <v/>
      </c>
      <c r="E844" s="2" t="s">
        <v>1991</v>
      </c>
    </row>
    <row r="845">
      <c r="A845" s="2" t="s">
        <v>1991</v>
      </c>
      <c r="D845" s="2" t="str">
        <f>IFERROR(__xludf.DUMMYFUNCTION("""COMPUTED_VALUE"""),"")</f>
        <v/>
      </c>
      <c r="E845" s="2" t="s">
        <v>1991</v>
      </c>
    </row>
    <row r="846">
      <c r="A846" s="2" t="s">
        <v>1991</v>
      </c>
      <c r="D846" s="2" t="str">
        <f>IFERROR(__xludf.DUMMYFUNCTION("""COMPUTED_VALUE"""),"")</f>
        <v/>
      </c>
      <c r="E846" s="2" t="s">
        <v>1991</v>
      </c>
    </row>
    <row r="847">
      <c r="A847" s="2" t="s">
        <v>1991</v>
      </c>
      <c r="D847" s="2" t="str">
        <f>IFERROR(__xludf.DUMMYFUNCTION("""COMPUTED_VALUE"""),"")</f>
        <v/>
      </c>
      <c r="E847" s="2" t="s">
        <v>1991</v>
      </c>
    </row>
    <row r="848">
      <c r="A848" s="2" t="s">
        <v>1991</v>
      </c>
      <c r="D848" s="2" t="str">
        <f>IFERROR(__xludf.DUMMYFUNCTION("""COMPUTED_VALUE"""),"")</f>
        <v/>
      </c>
      <c r="E848" s="2" t="s">
        <v>1991</v>
      </c>
    </row>
    <row r="849">
      <c r="A849" s="2" t="s">
        <v>1991</v>
      </c>
      <c r="D849" s="2" t="str">
        <f>IFERROR(__xludf.DUMMYFUNCTION("""COMPUTED_VALUE"""),"")</f>
        <v/>
      </c>
      <c r="E849" s="2" t="s">
        <v>1991</v>
      </c>
    </row>
    <row r="850">
      <c r="A850" s="2" t="s">
        <v>1991</v>
      </c>
      <c r="D850" s="2" t="str">
        <f>IFERROR(__xludf.DUMMYFUNCTION("""COMPUTED_VALUE"""),"")</f>
        <v/>
      </c>
      <c r="E850" s="2" t="s">
        <v>1991</v>
      </c>
    </row>
    <row r="851">
      <c r="A851" s="2" t="s">
        <v>1991</v>
      </c>
      <c r="D851" s="2" t="str">
        <f>IFERROR(__xludf.DUMMYFUNCTION("""COMPUTED_VALUE"""),"")</f>
        <v/>
      </c>
      <c r="E851" s="2" t="s">
        <v>1991</v>
      </c>
    </row>
    <row r="852">
      <c r="A852" s="2" t="s">
        <v>1991</v>
      </c>
      <c r="D852" s="2" t="str">
        <f>IFERROR(__xludf.DUMMYFUNCTION("""COMPUTED_VALUE"""),"")</f>
        <v/>
      </c>
      <c r="E852" s="2" t="s">
        <v>1991</v>
      </c>
    </row>
    <row r="853">
      <c r="A853" s="2" t="s">
        <v>1991</v>
      </c>
      <c r="D853" s="2" t="str">
        <f>IFERROR(__xludf.DUMMYFUNCTION("""COMPUTED_VALUE"""),"")</f>
        <v/>
      </c>
      <c r="E853" s="2" t="s">
        <v>1991</v>
      </c>
    </row>
    <row r="854">
      <c r="A854" s="2" t="s">
        <v>1991</v>
      </c>
      <c r="D854" s="2" t="str">
        <f>IFERROR(__xludf.DUMMYFUNCTION("""COMPUTED_VALUE"""),"")</f>
        <v/>
      </c>
      <c r="E854" s="2" t="s">
        <v>1991</v>
      </c>
    </row>
    <row r="855">
      <c r="A855" s="2" t="s">
        <v>1991</v>
      </c>
      <c r="D855" s="2" t="str">
        <f>IFERROR(__xludf.DUMMYFUNCTION("""COMPUTED_VALUE"""),"")</f>
        <v/>
      </c>
      <c r="E855" s="2" t="s">
        <v>1991</v>
      </c>
    </row>
    <row r="856">
      <c r="A856" s="2" t="s">
        <v>1991</v>
      </c>
      <c r="D856" s="2" t="str">
        <f>IFERROR(__xludf.DUMMYFUNCTION("""COMPUTED_VALUE"""),"")</f>
        <v/>
      </c>
      <c r="E856" s="2" t="s">
        <v>1991</v>
      </c>
    </row>
    <row r="857">
      <c r="A857" s="2" t="s">
        <v>1991</v>
      </c>
      <c r="D857" s="2" t="str">
        <f>IFERROR(__xludf.DUMMYFUNCTION("""COMPUTED_VALUE"""),"")</f>
        <v/>
      </c>
      <c r="E857" s="2" t="s">
        <v>1991</v>
      </c>
    </row>
    <row r="858">
      <c r="A858" s="2" t="s">
        <v>1991</v>
      </c>
      <c r="D858" s="2" t="str">
        <f>IFERROR(__xludf.DUMMYFUNCTION("""COMPUTED_VALUE"""),"")</f>
        <v/>
      </c>
      <c r="E858" s="2" t="s">
        <v>1991</v>
      </c>
    </row>
    <row r="859">
      <c r="A859" s="2" t="s">
        <v>1991</v>
      </c>
      <c r="D859" s="2" t="str">
        <f>IFERROR(__xludf.DUMMYFUNCTION("""COMPUTED_VALUE"""),"")</f>
        <v/>
      </c>
      <c r="E859" s="2" t="s">
        <v>1991</v>
      </c>
    </row>
    <row r="860">
      <c r="A860" s="2" t="s">
        <v>1991</v>
      </c>
      <c r="D860" s="2" t="str">
        <f>IFERROR(__xludf.DUMMYFUNCTION("""COMPUTED_VALUE"""),"")</f>
        <v/>
      </c>
      <c r="E860" s="2" t="s">
        <v>1991</v>
      </c>
    </row>
    <row r="861">
      <c r="A861" s="2" t="s">
        <v>1991</v>
      </c>
      <c r="D861" s="2" t="str">
        <f>IFERROR(__xludf.DUMMYFUNCTION("""COMPUTED_VALUE"""),"")</f>
        <v/>
      </c>
      <c r="E861" s="2" t="s">
        <v>1991</v>
      </c>
    </row>
    <row r="862">
      <c r="A862" s="2" t="s">
        <v>1991</v>
      </c>
      <c r="D862" s="2" t="str">
        <f>IFERROR(__xludf.DUMMYFUNCTION("""COMPUTED_VALUE"""),"")</f>
        <v/>
      </c>
      <c r="E862" s="2" t="s">
        <v>1991</v>
      </c>
    </row>
    <row r="863">
      <c r="A863" s="2" t="s">
        <v>1991</v>
      </c>
      <c r="D863" s="2" t="str">
        <f>IFERROR(__xludf.DUMMYFUNCTION("""COMPUTED_VALUE"""),"")</f>
        <v/>
      </c>
      <c r="E863" s="2" t="s">
        <v>1991</v>
      </c>
    </row>
    <row r="864">
      <c r="A864" s="2" t="s">
        <v>1991</v>
      </c>
      <c r="D864" s="2" t="str">
        <f>IFERROR(__xludf.DUMMYFUNCTION("""COMPUTED_VALUE"""),"")</f>
        <v/>
      </c>
      <c r="E864" s="2" t="s">
        <v>1991</v>
      </c>
    </row>
    <row r="865">
      <c r="A865" s="2" t="s">
        <v>1991</v>
      </c>
      <c r="D865" s="2" t="str">
        <f>IFERROR(__xludf.DUMMYFUNCTION("""COMPUTED_VALUE"""),"")</f>
        <v/>
      </c>
      <c r="E865" s="2" t="s">
        <v>1991</v>
      </c>
    </row>
    <row r="866">
      <c r="A866" s="2" t="s">
        <v>1991</v>
      </c>
      <c r="D866" s="2" t="str">
        <f>IFERROR(__xludf.DUMMYFUNCTION("""COMPUTED_VALUE"""),"")</f>
        <v/>
      </c>
      <c r="E866" s="2" t="s">
        <v>1991</v>
      </c>
    </row>
    <row r="867">
      <c r="A867" s="2" t="s">
        <v>1991</v>
      </c>
      <c r="D867" s="2" t="str">
        <f>IFERROR(__xludf.DUMMYFUNCTION("""COMPUTED_VALUE"""),"")</f>
        <v/>
      </c>
      <c r="E867" s="2" t="s">
        <v>1991</v>
      </c>
    </row>
    <row r="868">
      <c r="A868" s="2" t="s">
        <v>1991</v>
      </c>
      <c r="D868" s="2" t="str">
        <f>IFERROR(__xludf.DUMMYFUNCTION("""COMPUTED_VALUE"""),"")</f>
        <v/>
      </c>
      <c r="E868" s="2" t="s">
        <v>1991</v>
      </c>
    </row>
    <row r="869">
      <c r="A869" s="2" t="s">
        <v>1991</v>
      </c>
      <c r="D869" s="2" t="str">
        <f>IFERROR(__xludf.DUMMYFUNCTION("""COMPUTED_VALUE"""),"")</f>
        <v/>
      </c>
      <c r="E869" s="2" t="s">
        <v>1991</v>
      </c>
    </row>
    <row r="870">
      <c r="A870" s="2" t="s">
        <v>1991</v>
      </c>
      <c r="D870" s="2" t="str">
        <f>IFERROR(__xludf.DUMMYFUNCTION("""COMPUTED_VALUE"""),"")</f>
        <v/>
      </c>
      <c r="E870" s="2" t="s">
        <v>1991</v>
      </c>
    </row>
    <row r="871">
      <c r="A871" s="2" t="s">
        <v>1991</v>
      </c>
      <c r="D871" s="2" t="str">
        <f>IFERROR(__xludf.DUMMYFUNCTION("""COMPUTED_VALUE"""),"")</f>
        <v/>
      </c>
      <c r="E871" s="2" t="s">
        <v>1991</v>
      </c>
    </row>
    <row r="872">
      <c r="A872" s="2" t="s">
        <v>1991</v>
      </c>
      <c r="D872" s="2" t="str">
        <f>IFERROR(__xludf.DUMMYFUNCTION("""COMPUTED_VALUE"""),"")</f>
        <v/>
      </c>
      <c r="E872" s="2" t="s">
        <v>1991</v>
      </c>
    </row>
    <row r="873">
      <c r="A873" s="2" t="s">
        <v>1991</v>
      </c>
      <c r="D873" s="2" t="str">
        <f>IFERROR(__xludf.DUMMYFUNCTION("""COMPUTED_VALUE"""),"")</f>
        <v/>
      </c>
      <c r="E873" s="2" t="s">
        <v>1991</v>
      </c>
    </row>
    <row r="874">
      <c r="A874" s="2" t="s">
        <v>1991</v>
      </c>
      <c r="D874" s="2" t="str">
        <f>IFERROR(__xludf.DUMMYFUNCTION("""COMPUTED_VALUE"""),"")</f>
        <v/>
      </c>
      <c r="E874" s="2" t="s">
        <v>1991</v>
      </c>
    </row>
    <row r="875">
      <c r="A875" s="2" t="s">
        <v>1991</v>
      </c>
      <c r="D875" s="2" t="str">
        <f>IFERROR(__xludf.DUMMYFUNCTION("""COMPUTED_VALUE"""),"")</f>
        <v/>
      </c>
      <c r="E875" s="2" t="s">
        <v>1991</v>
      </c>
    </row>
    <row r="876">
      <c r="A876" s="2" t="s">
        <v>1991</v>
      </c>
      <c r="D876" s="2" t="str">
        <f>IFERROR(__xludf.DUMMYFUNCTION("""COMPUTED_VALUE"""),"")</f>
        <v/>
      </c>
      <c r="E876" s="2" t="s">
        <v>1991</v>
      </c>
    </row>
    <row r="877">
      <c r="A877" s="2" t="s">
        <v>1991</v>
      </c>
      <c r="D877" s="2" t="str">
        <f>IFERROR(__xludf.DUMMYFUNCTION("""COMPUTED_VALUE"""),"")</f>
        <v/>
      </c>
      <c r="E877" s="2" t="s">
        <v>1991</v>
      </c>
    </row>
    <row r="878">
      <c r="A878" s="2" t="s">
        <v>1991</v>
      </c>
      <c r="D878" s="2" t="str">
        <f>IFERROR(__xludf.DUMMYFUNCTION("""COMPUTED_VALUE"""),"")</f>
        <v/>
      </c>
      <c r="E878" s="2" t="s">
        <v>1991</v>
      </c>
    </row>
    <row r="879">
      <c r="A879" s="2" t="s">
        <v>1991</v>
      </c>
      <c r="D879" s="2" t="str">
        <f>IFERROR(__xludf.DUMMYFUNCTION("""COMPUTED_VALUE"""),"")</f>
        <v/>
      </c>
      <c r="E879" s="2" t="s">
        <v>1991</v>
      </c>
    </row>
    <row r="880">
      <c r="A880" s="2" t="s">
        <v>1991</v>
      </c>
      <c r="D880" s="2" t="str">
        <f>IFERROR(__xludf.DUMMYFUNCTION("""COMPUTED_VALUE"""),"")</f>
        <v/>
      </c>
      <c r="E880" s="2" t="s">
        <v>1991</v>
      </c>
    </row>
    <row r="881">
      <c r="A881" s="2" t="s">
        <v>1991</v>
      </c>
      <c r="D881" s="2" t="str">
        <f>IFERROR(__xludf.DUMMYFUNCTION("""COMPUTED_VALUE"""),"")</f>
        <v/>
      </c>
      <c r="E881" s="2" t="s">
        <v>1991</v>
      </c>
    </row>
    <row r="882">
      <c r="A882" s="2" t="s">
        <v>1991</v>
      </c>
      <c r="D882" s="2" t="str">
        <f>IFERROR(__xludf.DUMMYFUNCTION("""COMPUTED_VALUE"""),"")</f>
        <v/>
      </c>
      <c r="E882" s="2" t="s">
        <v>1991</v>
      </c>
    </row>
    <row r="883">
      <c r="A883" s="2" t="s">
        <v>1991</v>
      </c>
      <c r="D883" s="2" t="str">
        <f>IFERROR(__xludf.DUMMYFUNCTION("""COMPUTED_VALUE"""),"")</f>
        <v/>
      </c>
      <c r="E883" s="2" t="s">
        <v>1991</v>
      </c>
    </row>
    <row r="884">
      <c r="A884" s="2" t="s">
        <v>1991</v>
      </c>
      <c r="D884" s="2" t="str">
        <f>IFERROR(__xludf.DUMMYFUNCTION("""COMPUTED_VALUE"""),"")</f>
        <v/>
      </c>
      <c r="E884" s="2" t="s">
        <v>1991</v>
      </c>
    </row>
    <row r="885">
      <c r="A885" s="2" t="s">
        <v>1991</v>
      </c>
      <c r="D885" s="2" t="str">
        <f>IFERROR(__xludf.DUMMYFUNCTION("""COMPUTED_VALUE"""),"")</f>
        <v/>
      </c>
      <c r="E885" s="2" t="s">
        <v>1991</v>
      </c>
    </row>
    <row r="886">
      <c r="A886" s="2" t="s">
        <v>1991</v>
      </c>
      <c r="D886" s="2" t="str">
        <f>IFERROR(__xludf.DUMMYFUNCTION("""COMPUTED_VALUE"""),"")</f>
        <v/>
      </c>
      <c r="E886" s="2" t="s">
        <v>1991</v>
      </c>
    </row>
    <row r="887">
      <c r="A887" s="2" t="s">
        <v>1991</v>
      </c>
      <c r="D887" s="2" t="str">
        <f>IFERROR(__xludf.DUMMYFUNCTION("""COMPUTED_VALUE"""),"")</f>
        <v/>
      </c>
      <c r="E887" s="2" t="s">
        <v>1991</v>
      </c>
    </row>
    <row r="888">
      <c r="A888" s="2" t="s">
        <v>1991</v>
      </c>
      <c r="D888" s="2" t="str">
        <f>IFERROR(__xludf.DUMMYFUNCTION("""COMPUTED_VALUE"""),"")</f>
        <v/>
      </c>
      <c r="E888" s="2" t="s">
        <v>1991</v>
      </c>
    </row>
    <row r="889">
      <c r="A889" s="2" t="s">
        <v>1991</v>
      </c>
      <c r="D889" s="2" t="str">
        <f>IFERROR(__xludf.DUMMYFUNCTION("""COMPUTED_VALUE"""),"")</f>
        <v/>
      </c>
      <c r="E889" s="2" t="s">
        <v>1991</v>
      </c>
    </row>
    <row r="890">
      <c r="A890" s="2" t="s">
        <v>1991</v>
      </c>
      <c r="D890" s="2" t="str">
        <f>IFERROR(__xludf.DUMMYFUNCTION("""COMPUTED_VALUE"""),"")</f>
        <v/>
      </c>
      <c r="E890" s="2" t="s">
        <v>1991</v>
      </c>
    </row>
    <row r="891">
      <c r="A891" s="2" t="s">
        <v>1991</v>
      </c>
      <c r="D891" s="2" t="str">
        <f>IFERROR(__xludf.DUMMYFUNCTION("""COMPUTED_VALUE"""),"")</f>
        <v/>
      </c>
      <c r="E891" s="2" t="s">
        <v>1991</v>
      </c>
    </row>
    <row r="892">
      <c r="A892" s="2" t="s">
        <v>1991</v>
      </c>
      <c r="D892" s="2" t="str">
        <f>IFERROR(__xludf.DUMMYFUNCTION("""COMPUTED_VALUE"""),"")</f>
        <v/>
      </c>
      <c r="E892" s="2" t="s">
        <v>1991</v>
      </c>
    </row>
    <row r="893">
      <c r="A893" s="2" t="s">
        <v>1991</v>
      </c>
      <c r="D893" s="2" t="str">
        <f>IFERROR(__xludf.DUMMYFUNCTION("""COMPUTED_VALUE"""),"")</f>
        <v/>
      </c>
      <c r="E893" s="2" t="s">
        <v>1991</v>
      </c>
    </row>
    <row r="894">
      <c r="A894" s="2" t="s">
        <v>1991</v>
      </c>
      <c r="D894" s="2" t="str">
        <f>IFERROR(__xludf.DUMMYFUNCTION("""COMPUTED_VALUE"""),"")</f>
        <v/>
      </c>
      <c r="E894" s="2" t="s">
        <v>1991</v>
      </c>
    </row>
    <row r="895">
      <c r="A895" s="2" t="s">
        <v>1991</v>
      </c>
      <c r="D895" s="2" t="str">
        <f>IFERROR(__xludf.DUMMYFUNCTION("""COMPUTED_VALUE"""),"")</f>
        <v/>
      </c>
      <c r="E895" s="2" t="s">
        <v>1991</v>
      </c>
    </row>
    <row r="896">
      <c r="A896" s="2" t="s">
        <v>1991</v>
      </c>
      <c r="D896" s="2" t="str">
        <f>IFERROR(__xludf.DUMMYFUNCTION("""COMPUTED_VALUE"""),"")</f>
        <v/>
      </c>
      <c r="E896" s="2" t="s">
        <v>1991</v>
      </c>
    </row>
    <row r="897">
      <c r="A897" s="2" t="s">
        <v>1991</v>
      </c>
      <c r="D897" s="2" t="str">
        <f>IFERROR(__xludf.DUMMYFUNCTION("""COMPUTED_VALUE"""),"")</f>
        <v/>
      </c>
      <c r="E897" s="2" t="s">
        <v>1991</v>
      </c>
    </row>
    <row r="898">
      <c r="A898" s="2" t="s">
        <v>1991</v>
      </c>
      <c r="D898" s="2" t="str">
        <f>IFERROR(__xludf.DUMMYFUNCTION("""COMPUTED_VALUE"""),"")</f>
        <v/>
      </c>
      <c r="E898" s="2" t="s">
        <v>1991</v>
      </c>
    </row>
    <row r="899">
      <c r="A899" s="2" t="s">
        <v>1991</v>
      </c>
      <c r="D899" s="2" t="str">
        <f>IFERROR(__xludf.DUMMYFUNCTION("""COMPUTED_VALUE"""),"")</f>
        <v/>
      </c>
      <c r="E899" s="2" t="s">
        <v>1991</v>
      </c>
    </row>
    <row r="900">
      <c r="A900" s="2" t="s">
        <v>1991</v>
      </c>
      <c r="D900" s="2" t="str">
        <f>IFERROR(__xludf.DUMMYFUNCTION("""COMPUTED_VALUE"""),"")</f>
        <v/>
      </c>
      <c r="E900" s="2" t="s">
        <v>1991</v>
      </c>
    </row>
    <row r="901">
      <c r="A901" s="2" t="s">
        <v>1991</v>
      </c>
      <c r="D901" s="2" t="str">
        <f>IFERROR(__xludf.DUMMYFUNCTION("""COMPUTED_VALUE"""),"")</f>
        <v/>
      </c>
      <c r="E901" s="2" t="s">
        <v>1991</v>
      </c>
    </row>
    <row r="902">
      <c r="A902" s="2" t="s">
        <v>1991</v>
      </c>
      <c r="D902" s="2" t="str">
        <f>IFERROR(__xludf.DUMMYFUNCTION("""COMPUTED_VALUE"""),"")</f>
        <v/>
      </c>
      <c r="E902" s="2" t="s">
        <v>1991</v>
      </c>
    </row>
    <row r="903">
      <c r="A903" s="2" t="s">
        <v>1991</v>
      </c>
      <c r="D903" s="2" t="str">
        <f>IFERROR(__xludf.DUMMYFUNCTION("""COMPUTED_VALUE"""),"")</f>
        <v/>
      </c>
      <c r="E903" s="2" t="s">
        <v>1991</v>
      </c>
    </row>
    <row r="904">
      <c r="A904" s="2" t="s">
        <v>1991</v>
      </c>
      <c r="D904" s="2" t="str">
        <f>IFERROR(__xludf.DUMMYFUNCTION("""COMPUTED_VALUE"""),"")</f>
        <v/>
      </c>
      <c r="E904" s="2" t="s">
        <v>1991</v>
      </c>
    </row>
    <row r="905">
      <c r="A905" s="2" t="s">
        <v>1991</v>
      </c>
      <c r="D905" s="2" t="str">
        <f>IFERROR(__xludf.DUMMYFUNCTION("""COMPUTED_VALUE"""),"")</f>
        <v/>
      </c>
      <c r="E905" s="2" t="s">
        <v>1991</v>
      </c>
    </row>
    <row r="906">
      <c r="A906" s="2" t="s">
        <v>1991</v>
      </c>
      <c r="D906" s="2" t="str">
        <f>IFERROR(__xludf.DUMMYFUNCTION("""COMPUTED_VALUE"""),"")</f>
        <v/>
      </c>
      <c r="E906" s="2" t="s">
        <v>1991</v>
      </c>
    </row>
    <row r="907">
      <c r="A907" s="2" t="s">
        <v>1991</v>
      </c>
      <c r="D907" s="2" t="str">
        <f>IFERROR(__xludf.DUMMYFUNCTION("""COMPUTED_VALUE"""),"")</f>
        <v/>
      </c>
      <c r="E907" s="2" t="s">
        <v>1991</v>
      </c>
    </row>
    <row r="908">
      <c r="A908" s="2" t="s">
        <v>1991</v>
      </c>
      <c r="D908" s="2" t="str">
        <f>IFERROR(__xludf.DUMMYFUNCTION("""COMPUTED_VALUE"""),"")</f>
        <v/>
      </c>
      <c r="E908" s="2" t="s">
        <v>1991</v>
      </c>
    </row>
    <row r="909">
      <c r="A909" s="2" t="s">
        <v>1991</v>
      </c>
      <c r="D909" s="2" t="str">
        <f>IFERROR(__xludf.DUMMYFUNCTION("""COMPUTED_VALUE"""),"")</f>
        <v/>
      </c>
      <c r="E909" s="2" t="s">
        <v>1991</v>
      </c>
    </row>
    <row r="910">
      <c r="A910" s="2" t="s">
        <v>1991</v>
      </c>
      <c r="D910" s="2" t="str">
        <f>IFERROR(__xludf.DUMMYFUNCTION("""COMPUTED_VALUE"""),"")</f>
        <v/>
      </c>
      <c r="E910" s="2" t="s">
        <v>1991</v>
      </c>
    </row>
    <row r="911">
      <c r="A911" s="2" t="s">
        <v>1991</v>
      </c>
      <c r="D911" s="2" t="str">
        <f>IFERROR(__xludf.DUMMYFUNCTION("""COMPUTED_VALUE"""),"")</f>
        <v/>
      </c>
      <c r="E911" s="2" t="s">
        <v>1991</v>
      </c>
    </row>
    <row r="912">
      <c r="A912" s="2" t="s">
        <v>1991</v>
      </c>
      <c r="D912" s="2" t="str">
        <f>IFERROR(__xludf.DUMMYFUNCTION("""COMPUTED_VALUE"""),"")</f>
        <v/>
      </c>
      <c r="E912" s="2" t="s">
        <v>1991</v>
      </c>
    </row>
    <row r="913">
      <c r="A913" s="2" t="s">
        <v>1991</v>
      </c>
      <c r="D913" s="2" t="str">
        <f>IFERROR(__xludf.DUMMYFUNCTION("""COMPUTED_VALUE"""),"")</f>
        <v/>
      </c>
      <c r="E913" s="2" t="s">
        <v>1991</v>
      </c>
    </row>
    <row r="914">
      <c r="A914" s="2" t="s">
        <v>1991</v>
      </c>
      <c r="D914" s="2" t="str">
        <f>IFERROR(__xludf.DUMMYFUNCTION("""COMPUTED_VALUE"""),"")</f>
        <v/>
      </c>
      <c r="E914" s="2" t="s">
        <v>1991</v>
      </c>
    </row>
    <row r="915">
      <c r="A915" s="2" t="s">
        <v>1991</v>
      </c>
      <c r="D915" s="2" t="str">
        <f>IFERROR(__xludf.DUMMYFUNCTION("""COMPUTED_VALUE"""),"")</f>
        <v/>
      </c>
      <c r="E915" s="2" t="s">
        <v>1991</v>
      </c>
    </row>
    <row r="916">
      <c r="A916" s="2" t="s">
        <v>1991</v>
      </c>
      <c r="D916" s="2" t="str">
        <f>IFERROR(__xludf.DUMMYFUNCTION("""COMPUTED_VALUE"""),"")</f>
        <v/>
      </c>
      <c r="E916" s="2" t="s">
        <v>1991</v>
      </c>
    </row>
    <row r="917">
      <c r="A917" s="2" t="s">
        <v>1991</v>
      </c>
      <c r="D917" s="2" t="str">
        <f>IFERROR(__xludf.DUMMYFUNCTION("""COMPUTED_VALUE"""),"")</f>
        <v/>
      </c>
      <c r="E917" s="2" t="s">
        <v>1991</v>
      </c>
    </row>
    <row r="918">
      <c r="A918" s="2" t="s">
        <v>1991</v>
      </c>
      <c r="D918" s="2" t="str">
        <f>IFERROR(__xludf.DUMMYFUNCTION("""COMPUTED_VALUE"""),"")</f>
        <v/>
      </c>
      <c r="E918" s="2" t="s">
        <v>1991</v>
      </c>
    </row>
    <row r="919">
      <c r="A919" s="2" t="s">
        <v>1991</v>
      </c>
      <c r="D919" s="2" t="str">
        <f>IFERROR(__xludf.DUMMYFUNCTION("""COMPUTED_VALUE"""),"")</f>
        <v/>
      </c>
      <c r="E919" s="2" t="s">
        <v>1991</v>
      </c>
    </row>
    <row r="920">
      <c r="A920" s="2" t="s">
        <v>1991</v>
      </c>
      <c r="D920" s="2" t="str">
        <f>IFERROR(__xludf.DUMMYFUNCTION("""COMPUTED_VALUE"""),"")</f>
        <v/>
      </c>
      <c r="E920" s="2" t="s">
        <v>1991</v>
      </c>
    </row>
    <row r="921">
      <c r="A921" s="2" t="s">
        <v>1991</v>
      </c>
      <c r="D921" s="2" t="str">
        <f>IFERROR(__xludf.DUMMYFUNCTION("""COMPUTED_VALUE"""),"")</f>
        <v/>
      </c>
      <c r="E921" s="2" t="s">
        <v>1991</v>
      </c>
    </row>
    <row r="922">
      <c r="A922" s="2" t="s">
        <v>1991</v>
      </c>
      <c r="D922" s="2" t="str">
        <f>IFERROR(__xludf.DUMMYFUNCTION("""COMPUTED_VALUE"""),"")</f>
        <v/>
      </c>
      <c r="E922" s="2" t="s">
        <v>1991</v>
      </c>
    </row>
    <row r="923">
      <c r="A923" s="2" t="s">
        <v>1991</v>
      </c>
      <c r="D923" s="2" t="str">
        <f>IFERROR(__xludf.DUMMYFUNCTION("""COMPUTED_VALUE"""),"")</f>
        <v/>
      </c>
      <c r="E923" s="2" t="s">
        <v>1991</v>
      </c>
    </row>
    <row r="924">
      <c r="A924" s="2" t="s">
        <v>1991</v>
      </c>
      <c r="D924" s="2" t="str">
        <f>IFERROR(__xludf.DUMMYFUNCTION("""COMPUTED_VALUE"""),"")</f>
        <v/>
      </c>
      <c r="E924" s="2" t="s">
        <v>1991</v>
      </c>
    </row>
    <row r="925">
      <c r="A925" s="2" t="s">
        <v>1991</v>
      </c>
      <c r="D925" s="2" t="str">
        <f>IFERROR(__xludf.DUMMYFUNCTION("""COMPUTED_VALUE"""),"")</f>
        <v/>
      </c>
      <c r="E925" s="2" t="s">
        <v>1991</v>
      </c>
    </row>
    <row r="926">
      <c r="A926" s="2" t="s">
        <v>1991</v>
      </c>
      <c r="D926" s="2" t="str">
        <f>IFERROR(__xludf.DUMMYFUNCTION("""COMPUTED_VALUE"""),"")</f>
        <v/>
      </c>
      <c r="E926" s="2" t="s">
        <v>1991</v>
      </c>
    </row>
    <row r="927">
      <c r="A927" s="2" t="s">
        <v>1991</v>
      </c>
      <c r="D927" s="2" t="str">
        <f>IFERROR(__xludf.DUMMYFUNCTION("""COMPUTED_VALUE"""),"")</f>
        <v/>
      </c>
      <c r="E927" s="2" t="s">
        <v>1991</v>
      </c>
    </row>
    <row r="928">
      <c r="A928" s="2" t="s">
        <v>1991</v>
      </c>
      <c r="D928" s="2" t="str">
        <f>IFERROR(__xludf.DUMMYFUNCTION("""COMPUTED_VALUE"""),"")</f>
        <v/>
      </c>
      <c r="E928" s="2" t="s">
        <v>1991</v>
      </c>
    </row>
    <row r="929">
      <c r="A929" s="2" t="s">
        <v>1991</v>
      </c>
      <c r="D929" s="2" t="str">
        <f>IFERROR(__xludf.DUMMYFUNCTION("""COMPUTED_VALUE"""),"")</f>
        <v/>
      </c>
      <c r="E929" s="2" t="s">
        <v>1991</v>
      </c>
    </row>
    <row r="930">
      <c r="A930" s="2" t="s">
        <v>1991</v>
      </c>
      <c r="D930" s="2" t="str">
        <f>IFERROR(__xludf.DUMMYFUNCTION("""COMPUTED_VALUE"""),"")</f>
        <v/>
      </c>
      <c r="E930" s="2" t="s">
        <v>1991</v>
      </c>
    </row>
    <row r="931">
      <c r="A931" s="2" t="s">
        <v>1991</v>
      </c>
      <c r="D931" s="2" t="str">
        <f>IFERROR(__xludf.DUMMYFUNCTION("""COMPUTED_VALUE"""),"")</f>
        <v/>
      </c>
      <c r="E931" s="2" t="s">
        <v>1991</v>
      </c>
    </row>
    <row r="932">
      <c r="A932" s="2" t="s">
        <v>1991</v>
      </c>
      <c r="D932" s="2" t="str">
        <f>IFERROR(__xludf.DUMMYFUNCTION("""COMPUTED_VALUE"""),"")</f>
        <v/>
      </c>
      <c r="E932" s="2" t="s">
        <v>1991</v>
      </c>
    </row>
    <row r="933">
      <c r="A933" s="2" t="s">
        <v>1991</v>
      </c>
      <c r="D933" s="2" t="str">
        <f>IFERROR(__xludf.DUMMYFUNCTION("""COMPUTED_VALUE"""),"")</f>
        <v/>
      </c>
      <c r="E933" s="2" t="s">
        <v>1991</v>
      </c>
    </row>
    <row r="934">
      <c r="A934" s="2" t="s">
        <v>1991</v>
      </c>
      <c r="D934" s="2" t="str">
        <f>IFERROR(__xludf.DUMMYFUNCTION("""COMPUTED_VALUE"""),"")</f>
        <v/>
      </c>
      <c r="E934" s="2" t="s">
        <v>1991</v>
      </c>
    </row>
    <row r="935">
      <c r="A935" s="2" t="s">
        <v>1991</v>
      </c>
      <c r="D935" s="2" t="str">
        <f>IFERROR(__xludf.DUMMYFUNCTION("""COMPUTED_VALUE"""),"")</f>
        <v/>
      </c>
      <c r="E935" s="2" t="s">
        <v>1991</v>
      </c>
    </row>
    <row r="936">
      <c r="A936" s="2" t="s">
        <v>1991</v>
      </c>
      <c r="D936" s="2" t="str">
        <f>IFERROR(__xludf.DUMMYFUNCTION("""COMPUTED_VALUE"""),"")</f>
        <v/>
      </c>
      <c r="E936" s="2" t="s">
        <v>1991</v>
      </c>
    </row>
    <row r="937">
      <c r="A937" s="2" t="s">
        <v>1991</v>
      </c>
      <c r="D937" s="2" t="str">
        <f>IFERROR(__xludf.DUMMYFUNCTION("""COMPUTED_VALUE"""),"")</f>
        <v/>
      </c>
      <c r="E937" s="2" t="s">
        <v>1991</v>
      </c>
    </row>
    <row r="938">
      <c r="A938" s="2" t="s">
        <v>1991</v>
      </c>
      <c r="D938" s="2" t="str">
        <f>IFERROR(__xludf.DUMMYFUNCTION("""COMPUTED_VALUE"""),"")</f>
        <v/>
      </c>
      <c r="E938" s="2" t="s">
        <v>1991</v>
      </c>
    </row>
    <row r="939">
      <c r="A939" s="2" t="s">
        <v>1991</v>
      </c>
      <c r="D939" s="2" t="str">
        <f>IFERROR(__xludf.DUMMYFUNCTION("""COMPUTED_VALUE"""),"")</f>
        <v/>
      </c>
      <c r="E939" s="2" t="s">
        <v>1991</v>
      </c>
    </row>
    <row r="940">
      <c r="A940" s="2" t="s">
        <v>1991</v>
      </c>
      <c r="D940" s="2" t="str">
        <f>IFERROR(__xludf.DUMMYFUNCTION("""COMPUTED_VALUE"""),"")</f>
        <v/>
      </c>
      <c r="E940" s="2" t="s">
        <v>1991</v>
      </c>
    </row>
    <row r="941">
      <c r="A941" s="2" t="s">
        <v>1991</v>
      </c>
      <c r="D941" s="2" t="str">
        <f>IFERROR(__xludf.DUMMYFUNCTION("""COMPUTED_VALUE"""),"")</f>
        <v/>
      </c>
      <c r="E941" s="2" t="s">
        <v>1991</v>
      </c>
    </row>
    <row r="942">
      <c r="A942" s="2" t="s">
        <v>1991</v>
      </c>
      <c r="D942" s="2" t="str">
        <f>IFERROR(__xludf.DUMMYFUNCTION("""COMPUTED_VALUE"""),"")</f>
        <v/>
      </c>
      <c r="E942" s="2" t="s">
        <v>1991</v>
      </c>
    </row>
    <row r="943">
      <c r="A943" s="2" t="s">
        <v>1991</v>
      </c>
      <c r="D943" s="2" t="str">
        <f>IFERROR(__xludf.DUMMYFUNCTION("""COMPUTED_VALUE"""),"")</f>
        <v/>
      </c>
      <c r="E943" s="2" t="s">
        <v>1991</v>
      </c>
    </row>
    <row r="944">
      <c r="A944" s="2" t="s">
        <v>1991</v>
      </c>
      <c r="D944" s="2" t="str">
        <f>IFERROR(__xludf.DUMMYFUNCTION("""COMPUTED_VALUE"""),"")</f>
        <v/>
      </c>
      <c r="E944" s="2" t="s">
        <v>1991</v>
      </c>
    </row>
    <row r="945">
      <c r="A945" s="2" t="s">
        <v>1991</v>
      </c>
      <c r="D945" s="2" t="str">
        <f>IFERROR(__xludf.DUMMYFUNCTION("""COMPUTED_VALUE"""),"")</f>
        <v/>
      </c>
      <c r="E945" s="2" t="s">
        <v>1991</v>
      </c>
    </row>
    <row r="946">
      <c r="A946" s="2" t="s">
        <v>1991</v>
      </c>
      <c r="D946" s="2" t="str">
        <f>IFERROR(__xludf.DUMMYFUNCTION("""COMPUTED_VALUE"""),"")</f>
        <v/>
      </c>
      <c r="E946" s="2" t="s">
        <v>1991</v>
      </c>
    </row>
    <row r="947">
      <c r="A947" s="2" t="s">
        <v>1991</v>
      </c>
      <c r="D947" s="2" t="str">
        <f>IFERROR(__xludf.DUMMYFUNCTION("""COMPUTED_VALUE"""),"")</f>
        <v/>
      </c>
      <c r="E947" s="2" t="s">
        <v>1991</v>
      </c>
    </row>
    <row r="948">
      <c r="A948" s="2" t="s">
        <v>1991</v>
      </c>
      <c r="D948" s="2" t="str">
        <f>IFERROR(__xludf.DUMMYFUNCTION("""COMPUTED_VALUE"""),"")</f>
        <v/>
      </c>
      <c r="E948" s="2" t="s">
        <v>1991</v>
      </c>
    </row>
    <row r="949">
      <c r="A949" s="2" t="s">
        <v>1991</v>
      </c>
      <c r="D949" s="2" t="str">
        <f>IFERROR(__xludf.DUMMYFUNCTION("""COMPUTED_VALUE"""),"")</f>
        <v/>
      </c>
      <c r="E949" s="2" t="s">
        <v>1991</v>
      </c>
    </row>
    <row r="950">
      <c r="A950" s="2" t="s">
        <v>1991</v>
      </c>
      <c r="D950" s="2" t="str">
        <f>IFERROR(__xludf.DUMMYFUNCTION("""COMPUTED_VALUE"""),"")</f>
        <v/>
      </c>
      <c r="E950" s="2" t="s">
        <v>1991</v>
      </c>
    </row>
    <row r="951">
      <c r="A951" s="2" t="s">
        <v>1991</v>
      </c>
      <c r="D951" s="2" t="str">
        <f>IFERROR(__xludf.DUMMYFUNCTION("""COMPUTED_VALUE"""),"")</f>
        <v/>
      </c>
      <c r="E951" s="2" t="s">
        <v>1991</v>
      </c>
    </row>
    <row r="952">
      <c r="A952" s="2" t="s">
        <v>1991</v>
      </c>
      <c r="D952" s="2" t="str">
        <f>IFERROR(__xludf.DUMMYFUNCTION("""COMPUTED_VALUE"""),"")</f>
        <v/>
      </c>
      <c r="E952" s="2" t="s">
        <v>1991</v>
      </c>
    </row>
    <row r="953">
      <c r="A953" s="2" t="s">
        <v>1991</v>
      </c>
      <c r="D953" s="2" t="str">
        <f>IFERROR(__xludf.DUMMYFUNCTION("""COMPUTED_VALUE"""),"")</f>
        <v/>
      </c>
      <c r="E953" s="2" t="s">
        <v>1991</v>
      </c>
    </row>
    <row r="954">
      <c r="A954" s="2" t="s">
        <v>1991</v>
      </c>
      <c r="D954" s="2" t="str">
        <f>IFERROR(__xludf.DUMMYFUNCTION("""COMPUTED_VALUE"""),"")</f>
        <v/>
      </c>
      <c r="E954" s="2" t="s">
        <v>1991</v>
      </c>
    </row>
    <row r="955">
      <c r="A955" s="2" t="s">
        <v>1991</v>
      </c>
      <c r="D955" s="2" t="str">
        <f>IFERROR(__xludf.DUMMYFUNCTION("""COMPUTED_VALUE"""),"")</f>
        <v/>
      </c>
      <c r="E955" s="2" t="s">
        <v>1991</v>
      </c>
    </row>
    <row r="956">
      <c r="A956" s="2" t="s">
        <v>1991</v>
      </c>
      <c r="D956" s="2" t="str">
        <f>IFERROR(__xludf.DUMMYFUNCTION("""COMPUTED_VALUE"""),"")</f>
        <v/>
      </c>
      <c r="E956" s="2" t="s">
        <v>1991</v>
      </c>
    </row>
    <row r="957">
      <c r="A957" s="2" t="s">
        <v>1991</v>
      </c>
      <c r="D957" s="2" t="str">
        <f>IFERROR(__xludf.DUMMYFUNCTION("""COMPUTED_VALUE"""),"")</f>
        <v/>
      </c>
      <c r="E957" s="2" t="s">
        <v>1991</v>
      </c>
    </row>
    <row r="958">
      <c r="A958" s="2" t="s">
        <v>1991</v>
      </c>
      <c r="D958" s="2" t="str">
        <f>IFERROR(__xludf.DUMMYFUNCTION("""COMPUTED_VALUE"""),"")</f>
        <v/>
      </c>
      <c r="E958" s="2" t="s">
        <v>1991</v>
      </c>
    </row>
    <row r="959">
      <c r="A959" s="2" t="s">
        <v>1991</v>
      </c>
      <c r="D959" s="2" t="str">
        <f>IFERROR(__xludf.DUMMYFUNCTION("""COMPUTED_VALUE"""),"")</f>
        <v/>
      </c>
      <c r="E959" s="2" t="s">
        <v>1991</v>
      </c>
    </row>
    <row r="960">
      <c r="A960" s="2" t="s">
        <v>1991</v>
      </c>
      <c r="D960" s="2" t="str">
        <f>IFERROR(__xludf.DUMMYFUNCTION("""COMPUTED_VALUE"""),"")</f>
        <v/>
      </c>
      <c r="E960" s="2" t="s">
        <v>1991</v>
      </c>
    </row>
    <row r="961">
      <c r="A961" s="2" t="s">
        <v>1991</v>
      </c>
      <c r="D961" s="2" t="str">
        <f>IFERROR(__xludf.DUMMYFUNCTION("""COMPUTED_VALUE"""),"")</f>
        <v/>
      </c>
      <c r="E961" s="2" t="s">
        <v>1991</v>
      </c>
    </row>
    <row r="962">
      <c r="A962" s="2" t="s">
        <v>1991</v>
      </c>
      <c r="D962" s="2" t="str">
        <f>IFERROR(__xludf.DUMMYFUNCTION("""COMPUTED_VALUE"""),"")</f>
        <v/>
      </c>
      <c r="E962" s="2" t="s">
        <v>1991</v>
      </c>
    </row>
    <row r="963">
      <c r="A963" s="2" t="s">
        <v>1991</v>
      </c>
      <c r="D963" s="2" t="str">
        <f>IFERROR(__xludf.DUMMYFUNCTION("""COMPUTED_VALUE"""),"")</f>
        <v/>
      </c>
      <c r="E963" s="2" t="s">
        <v>1991</v>
      </c>
    </row>
    <row r="964">
      <c r="A964" s="2" t="s">
        <v>1991</v>
      </c>
      <c r="D964" s="2" t="str">
        <f>IFERROR(__xludf.DUMMYFUNCTION("""COMPUTED_VALUE"""),"")</f>
        <v/>
      </c>
      <c r="E964" s="2" t="s">
        <v>1991</v>
      </c>
    </row>
    <row r="965">
      <c r="A965" s="2" t="s">
        <v>1991</v>
      </c>
      <c r="D965" s="2" t="str">
        <f>IFERROR(__xludf.DUMMYFUNCTION("""COMPUTED_VALUE"""),"")</f>
        <v/>
      </c>
      <c r="E965" s="2" t="s">
        <v>1991</v>
      </c>
    </row>
    <row r="966">
      <c r="A966" s="2" t="s">
        <v>1991</v>
      </c>
      <c r="D966" s="2" t="str">
        <f>IFERROR(__xludf.DUMMYFUNCTION("""COMPUTED_VALUE"""),"")</f>
        <v/>
      </c>
      <c r="E966" s="2" t="s">
        <v>1991</v>
      </c>
    </row>
    <row r="967">
      <c r="A967" s="2" t="s">
        <v>1991</v>
      </c>
      <c r="D967" s="2" t="str">
        <f>IFERROR(__xludf.DUMMYFUNCTION("""COMPUTED_VALUE"""),"")</f>
        <v/>
      </c>
      <c r="E967" s="2" t="s">
        <v>1991</v>
      </c>
    </row>
    <row r="968">
      <c r="A968" s="2" t="s">
        <v>1991</v>
      </c>
      <c r="D968" s="2" t="str">
        <f>IFERROR(__xludf.DUMMYFUNCTION("""COMPUTED_VALUE"""),"")</f>
        <v/>
      </c>
      <c r="E968" s="2" t="s">
        <v>1991</v>
      </c>
    </row>
    <row r="969">
      <c r="A969" s="2" t="s">
        <v>1991</v>
      </c>
      <c r="D969" s="2" t="str">
        <f>IFERROR(__xludf.DUMMYFUNCTION("""COMPUTED_VALUE"""),"")</f>
        <v/>
      </c>
      <c r="E969" s="2" t="s">
        <v>1991</v>
      </c>
    </row>
    <row r="970">
      <c r="A970" s="2" t="s">
        <v>1991</v>
      </c>
      <c r="D970" s="2" t="str">
        <f>IFERROR(__xludf.DUMMYFUNCTION("""COMPUTED_VALUE"""),"")</f>
        <v/>
      </c>
      <c r="E970" s="2" t="s">
        <v>1991</v>
      </c>
    </row>
    <row r="971">
      <c r="A971" s="2" t="s">
        <v>1991</v>
      </c>
      <c r="D971" s="2" t="str">
        <f>IFERROR(__xludf.DUMMYFUNCTION("""COMPUTED_VALUE"""),"")</f>
        <v/>
      </c>
      <c r="E971" s="2" t="s">
        <v>1991</v>
      </c>
    </row>
    <row r="972">
      <c r="A972" s="2" t="s">
        <v>1991</v>
      </c>
      <c r="D972" s="2" t="str">
        <f>IFERROR(__xludf.DUMMYFUNCTION("""COMPUTED_VALUE"""),"")</f>
        <v/>
      </c>
      <c r="E972" s="2" t="s">
        <v>1991</v>
      </c>
    </row>
    <row r="973">
      <c r="A973" s="2" t="s">
        <v>1991</v>
      </c>
      <c r="D973" s="2" t="str">
        <f>IFERROR(__xludf.DUMMYFUNCTION("""COMPUTED_VALUE"""),"")</f>
        <v/>
      </c>
      <c r="E973" s="2" t="s">
        <v>1991</v>
      </c>
    </row>
    <row r="974">
      <c r="A974" s="2" t="s">
        <v>1991</v>
      </c>
      <c r="D974" s="2" t="str">
        <f>IFERROR(__xludf.DUMMYFUNCTION("""COMPUTED_VALUE"""),"")</f>
        <v/>
      </c>
      <c r="E974" s="2" t="s">
        <v>1991</v>
      </c>
    </row>
    <row r="975">
      <c r="A975" s="2" t="s">
        <v>1991</v>
      </c>
      <c r="D975" s="2" t="str">
        <f>IFERROR(__xludf.DUMMYFUNCTION("""COMPUTED_VALUE"""),"")</f>
        <v/>
      </c>
      <c r="E975" s="2" t="s">
        <v>1991</v>
      </c>
    </row>
    <row r="976">
      <c r="A976" s="2" t="s">
        <v>1991</v>
      </c>
      <c r="D976" s="2" t="str">
        <f>IFERROR(__xludf.DUMMYFUNCTION("""COMPUTED_VALUE"""),"")</f>
        <v/>
      </c>
      <c r="E976" s="2" t="s">
        <v>1991</v>
      </c>
    </row>
    <row r="977">
      <c r="A977" s="2" t="s">
        <v>1991</v>
      </c>
      <c r="D977" s="2" t="str">
        <f>IFERROR(__xludf.DUMMYFUNCTION("""COMPUTED_VALUE"""),"")</f>
        <v/>
      </c>
      <c r="E977" s="2" t="s">
        <v>1991</v>
      </c>
    </row>
    <row r="978">
      <c r="A978" s="2" t="s">
        <v>1991</v>
      </c>
      <c r="D978" s="2" t="str">
        <f>IFERROR(__xludf.DUMMYFUNCTION("""COMPUTED_VALUE"""),"")</f>
        <v/>
      </c>
      <c r="E978" s="2" t="s">
        <v>1991</v>
      </c>
    </row>
    <row r="979">
      <c r="A979" s="2" t="s">
        <v>1991</v>
      </c>
      <c r="D979" s="2" t="str">
        <f>IFERROR(__xludf.DUMMYFUNCTION("""COMPUTED_VALUE"""),"")</f>
        <v/>
      </c>
      <c r="E979" s="2" t="s">
        <v>1991</v>
      </c>
    </row>
    <row r="980">
      <c r="A980" s="2" t="s">
        <v>1991</v>
      </c>
      <c r="D980" s="2" t="str">
        <f>IFERROR(__xludf.DUMMYFUNCTION("""COMPUTED_VALUE"""),"")</f>
        <v/>
      </c>
      <c r="E980" s="2" t="s">
        <v>1991</v>
      </c>
    </row>
    <row r="981">
      <c r="A981" s="2" t="s">
        <v>1991</v>
      </c>
      <c r="D981" s="2" t="str">
        <f>IFERROR(__xludf.DUMMYFUNCTION("""COMPUTED_VALUE"""),"")</f>
        <v/>
      </c>
      <c r="E981" s="2" t="s">
        <v>1991</v>
      </c>
    </row>
    <row r="982">
      <c r="A982" s="2" t="s">
        <v>1991</v>
      </c>
      <c r="D982" s="2" t="str">
        <f>IFERROR(__xludf.DUMMYFUNCTION("""COMPUTED_VALUE"""),"")</f>
        <v/>
      </c>
      <c r="E982" s="2" t="s">
        <v>1991</v>
      </c>
    </row>
    <row r="983">
      <c r="A983" s="2" t="s">
        <v>1991</v>
      </c>
      <c r="D983" s="2" t="str">
        <f>IFERROR(__xludf.DUMMYFUNCTION("""COMPUTED_VALUE"""),"")</f>
        <v/>
      </c>
      <c r="E983" s="2" t="s">
        <v>1991</v>
      </c>
    </row>
    <row r="984">
      <c r="A984" s="2" t="s">
        <v>1991</v>
      </c>
      <c r="D984" s="2" t="str">
        <f>IFERROR(__xludf.DUMMYFUNCTION("""COMPUTED_VALUE"""),"")</f>
        <v/>
      </c>
      <c r="E984" s="2" t="s">
        <v>1991</v>
      </c>
    </row>
    <row r="985">
      <c r="A985" s="2" t="s">
        <v>1991</v>
      </c>
      <c r="D985" s="2" t="str">
        <f>IFERROR(__xludf.DUMMYFUNCTION("""COMPUTED_VALUE"""),"")</f>
        <v/>
      </c>
      <c r="E985" s="2" t="s">
        <v>1991</v>
      </c>
    </row>
    <row r="986">
      <c r="A986" s="2" t="s">
        <v>1991</v>
      </c>
      <c r="D986" s="2" t="str">
        <f>IFERROR(__xludf.DUMMYFUNCTION("""COMPUTED_VALUE"""),"")</f>
        <v/>
      </c>
      <c r="E986" s="2" t="s">
        <v>1991</v>
      </c>
    </row>
    <row r="987">
      <c r="A987" s="2" t="s">
        <v>1991</v>
      </c>
      <c r="D987" s="2" t="str">
        <f>IFERROR(__xludf.DUMMYFUNCTION("""COMPUTED_VALUE"""),"")</f>
        <v/>
      </c>
      <c r="E987" s="2" t="s">
        <v>1991</v>
      </c>
    </row>
    <row r="988">
      <c r="A988" s="2" t="s">
        <v>1991</v>
      </c>
      <c r="D988" s="2" t="str">
        <f>IFERROR(__xludf.DUMMYFUNCTION("""COMPUTED_VALUE"""),"")</f>
        <v/>
      </c>
      <c r="E988" s="2" t="s">
        <v>1991</v>
      </c>
    </row>
    <row r="989">
      <c r="A989" s="2" t="s">
        <v>1991</v>
      </c>
      <c r="D989" s="2" t="str">
        <f>IFERROR(__xludf.DUMMYFUNCTION("""COMPUTED_VALUE"""),"")</f>
        <v/>
      </c>
      <c r="E989" s="2" t="s">
        <v>1991</v>
      </c>
    </row>
    <row r="990">
      <c r="A990" s="2" t="s">
        <v>1991</v>
      </c>
      <c r="D990" s="2" t="str">
        <f>IFERROR(__xludf.DUMMYFUNCTION("""COMPUTED_VALUE"""),"")</f>
        <v/>
      </c>
      <c r="E990" s="2" t="s">
        <v>1991</v>
      </c>
    </row>
    <row r="991">
      <c r="A991" s="2" t="s">
        <v>1991</v>
      </c>
      <c r="D991" s="2" t="str">
        <f>IFERROR(__xludf.DUMMYFUNCTION("""COMPUTED_VALUE"""),"")</f>
        <v/>
      </c>
      <c r="E991" s="2" t="s">
        <v>1991</v>
      </c>
    </row>
    <row r="992">
      <c r="A992" s="2" t="s">
        <v>1991</v>
      </c>
      <c r="D992" s="2" t="str">
        <f>IFERROR(__xludf.DUMMYFUNCTION("""COMPUTED_VALUE"""),"")</f>
        <v/>
      </c>
      <c r="E992" s="2" t="s">
        <v>1991</v>
      </c>
    </row>
    <row r="993">
      <c r="A993" s="2" t="s">
        <v>1991</v>
      </c>
      <c r="D993" s="2" t="str">
        <f>IFERROR(__xludf.DUMMYFUNCTION("""COMPUTED_VALUE"""),"")</f>
        <v/>
      </c>
      <c r="E993" s="2" t="s">
        <v>1991</v>
      </c>
    </row>
    <row r="994">
      <c r="A994" s="2" t="s">
        <v>1991</v>
      </c>
      <c r="D994" s="2" t="str">
        <f>IFERROR(__xludf.DUMMYFUNCTION("""COMPUTED_VALUE"""),"")</f>
        <v/>
      </c>
      <c r="E994" s="2" t="s">
        <v>1991</v>
      </c>
    </row>
    <row r="995">
      <c r="A995" s="2" t="s">
        <v>1991</v>
      </c>
      <c r="D995" s="2" t="str">
        <f>IFERROR(__xludf.DUMMYFUNCTION("""COMPUTED_VALUE"""),"")</f>
        <v/>
      </c>
      <c r="E995" s="2" t="s">
        <v>1991</v>
      </c>
    </row>
    <row r="996">
      <c r="A996" s="2" t="s">
        <v>1991</v>
      </c>
      <c r="D996" s="2" t="str">
        <f>IFERROR(__xludf.DUMMYFUNCTION("""COMPUTED_VALUE"""),"")</f>
        <v/>
      </c>
      <c r="E996" s="2" t="s">
        <v>1991</v>
      </c>
    </row>
    <row r="997">
      <c r="A997" s="2" t="s">
        <v>1991</v>
      </c>
      <c r="D997" s="2" t="str">
        <f>IFERROR(__xludf.DUMMYFUNCTION("""COMPUTED_VALUE"""),"")</f>
        <v/>
      </c>
      <c r="E997" s="2" t="s">
        <v>1991</v>
      </c>
    </row>
    <row r="998">
      <c r="A998" s="2" t="s">
        <v>1991</v>
      </c>
      <c r="D998" s="2" t="str">
        <f>IFERROR(__xludf.DUMMYFUNCTION("""COMPUTED_VALUE"""),"")</f>
        <v/>
      </c>
      <c r="E998" s="2" t="s">
        <v>1991</v>
      </c>
    </row>
    <row r="999">
      <c r="A999" s="2" t="s">
        <v>1991</v>
      </c>
      <c r="D999" s="2" t="str">
        <f>IFERROR(__xludf.DUMMYFUNCTION("""COMPUTED_VALUE"""),"")</f>
        <v/>
      </c>
      <c r="E999" s="2" t="s">
        <v>1991</v>
      </c>
    </row>
    <row r="1000">
      <c r="A1000" s="2" t="s">
        <v>1991</v>
      </c>
      <c r="D1000" s="2" t="str">
        <f>IFERROR(__xludf.DUMMYFUNCTION("""COMPUTED_VALUE"""),"")</f>
        <v/>
      </c>
      <c r="E1000" s="2" t="s">
        <v>1991</v>
      </c>
    </row>
  </sheetData>
  <drawing r:id="rId1"/>
</worksheet>
</file>